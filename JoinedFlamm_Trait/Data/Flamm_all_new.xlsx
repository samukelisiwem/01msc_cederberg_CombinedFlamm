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livenmmuac-my.sharepoint.com/personal/samukelisiwem_mandela_ac_za/Documents/Documents/3_SCHOLARY/PhD/Data collection/Analysis/01msc_cederberg_CombinedFlamm/JoinedFlamm_Trait/Data/"/>
    </mc:Choice>
  </mc:AlternateContent>
  <xr:revisionPtr revIDLastSave="35" documentId="11_FF30BDC58F79A89360642C52EA7BD2727ACDE779" xr6:coauthVersionLast="47" xr6:coauthVersionMax="47" xr10:uidLastSave="{05C8209D-974D-48A4-A8E6-A8A45BDB1FA9}"/>
  <bookViews>
    <workbookView xWindow="2037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734" i="1" l="1"/>
  <c r="T735" i="1"/>
  <c r="T736" i="1"/>
  <c r="T737" i="1"/>
  <c r="T738" i="1"/>
  <c r="T739" i="1"/>
  <c r="T740" i="1"/>
  <c r="T741" i="1"/>
  <c r="T742" i="1"/>
  <c r="T743" i="1"/>
  <c r="T744" i="1"/>
  <c r="T745" i="1"/>
  <c r="T746" i="1"/>
  <c r="T747" i="1"/>
  <c r="T748" i="1"/>
  <c r="T749" i="1"/>
  <c r="T750" i="1"/>
  <c r="T751" i="1"/>
  <c r="T752" i="1"/>
  <c r="T753" i="1"/>
  <c r="T754" i="1"/>
  <c r="T755" i="1"/>
  <c r="T756" i="1"/>
  <c r="T757" i="1"/>
  <c r="T758" i="1"/>
  <c r="T759" i="1"/>
  <c r="T760" i="1"/>
  <c r="T761" i="1"/>
  <c r="T762" i="1"/>
  <c r="T763" i="1"/>
  <c r="T764" i="1"/>
  <c r="T765" i="1"/>
  <c r="T766" i="1"/>
  <c r="T767" i="1"/>
  <c r="T768" i="1"/>
  <c r="T769" i="1"/>
  <c r="T770" i="1"/>
  <c r="T771" i="1"/>
  <c r="T772" i="1"/>
  <c r="T773" i="1"/>
  <c r="T774" i="1"/>
  <c r="T775" i="1"/>
  <c r="T776" i="1"/>
  <c r="T777" i="1"/>
  <c r="T778" i="1"/>
  <c r="T779" i="1"/>
  <c r="T780" i="1"/>
  <c r="T781" i="1"/>
  <c r="T782" i="1"/>
  <c r="T783" i="1"/>
  <c r="T784" i="1"/>
  <c r="T785" i="1"/>
  <c r="T786" i="1"/>
  <c r="T787" i="1"/>
  <c r="T788" i="1"/>
  <c r="T789" i="1"/>
  <c r="T790" i="1"/>
  <c r="T791" i="1"/>
  <c r="T792" i="1"/>
  <c r="T793" i="1"/>
  <c r="T794" i="1"/>
  <c r="T795" i="1"/>
  <c r="T796" i="1"/>
  <c r="T797" i="1"/>
  <c r="T798" i="1"/>
  <c r="T799" i="1"/>
  <c r="T3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137" i="1"/>
  <c r="T138" i="1"/>
  <c r="T139" i="1"/>
  <c r="T140" i="1"/>
  <c r="T141" i="1"/>
  <c r="T142" i="1"/>
  <c r="T143" i="1"/>
  <c r="T144" i="1"/>
  <c r="T145" i="1"/>
  <c r="T146" i="1"/>
  <c r="T147" i="1"/>
  <c r="T148" i="1"/>
  <c r="T149" i="1"/>
  <c r="T150" i="1"/>
  <c r="T151" i="1"/>
  <c r="T152" i="1"/>
  <c r="T153" i="1"/>
  <c r="T154" i="1"/>
  <c r="T155" i="1"/>
  <c r="T156" i="1"/>
  <c r="T157" i="1"/>
  <c r="T158" i="1"/>
  <c r="T159" i="1"/>
  <c r="T160" i="1"/>
  <c r="T161" i="1"/>
  <c r="T162" i="1"/>
  <c r="T163" i="1"/>
  <c r="T164" i="1"/>
  <c r="T165" i="1"/>
  <c r="T166" i="1"/>
  <c r="T167" i="1"/>
  <c r="T168" i="1"/>
  <c r="T169" i="1"/>
  <c r="T170" i="1"/>
  <c r="T171" i="1"/>
  <c r="T172" i="1"/>
  <c r="T173" i="1"/>
  <c r="T174" i="1"/>
  <c r="T175" i="1"/>
  <c r="T176" i="1"/>
  <c r="T177" i="1"/>
  <c r="T178" i="1"/>
  <c r="T179" i="1"/>
  <c r="T180" i="1"/>
  <c r="T181" i="1"/>
  <c r="T182" i="1"/>
  <c r="T183" i="1"/>
  <c r="T184" i="1"/>
  <c r="T185" i="1"/>
  <c r="T186" i="1"/>
  <c r="T187" i="1"/>
  <c r="T188" i="1"/>
  <c r="T189" i="1"/>
  <c r="T190" i="1"/>
  <c r="T191" i="1"/>
  <c r="T192" i="1"/>
  <c r="T193" i="1"/>
  <c r="T194" i="1"/>
  <c r="T195" i="1"/>
  <c r="T196" i="1"/>
  <c r="T197" i="1"/>
  <c r="T198" i="1"/>
  <c r="T199" i="1"/>
  <c r="T200" i="1"/>
  <c r="T201" i="1"/>
  <c r="T202" i="1"/>
  <c r="T203" i="1"/>
  <c r="T204" i="1"/>
  <c r="T205" i="1"/>
  <c r="T206" i="1"/>
  <c r="T207" i="1"/>
  <c r="T208" i="1"/>
  <c r="T209" i="1"/>
  <c r="T210" i="1"/>
  <c r="T211" i="1"/>
  <c r="T212" i="1"/>
  <c r="T213" i="1"/>
  <c r="T214" i="1"/>
  <c r="T215" i="1"/>
  <c r="T216" i="1"/>
  <c r="T217" i="1"/>
  <c r="T218" i="1"/>
  <c r="T219" i="1"/>
  <c r="T220" i="1"/>
  <c r="T221" i="1"/>
  <c r="T222" i="1"/>
  <c r="T223" i="1"/>
  <c r="T224" i="1"/>
  <c r="T225" i="1"/>
  <c r="T226" i="1"/>
  <c r="T227" i="1"/>
  <c r="T228" i="1"/>
  <c r="T229" i="1"/>
  <c r="T230" i="1"/>
  <c r="T231" i="1"/>
  <c r="T232" i="1"/>
  <c r="T233" i="1"/>
  <c r="T234" i="1"/>
  <c r="T235" i="1"/>
  <c r="T236" i="1"/>
  <c r="T237" i="1"/>
  <c r="T238" i="1"/>
  <c r="T239" i="1"/>
  <c r="T240" i="1"/>
  <c r="T241" i="1"/>
  <c r="T242" i="1"/>
  <c r="T243" i="1"/>
  <c r="T244" i="1"/>
  <c r="T245" i="1"/>
  <c r="T246" i="1"/>
  <c r="T247" i="1"/>
  <c r="T248" i="1"/>
  <c r="T249" i="1"/>
  <c r="T250" i="1"/>
  <c r="T251" i="1"/>
  <c r="T252" i="1"/>
  <c r="T253" i="1"/>
  <c r="T254" i="1"/>
  <c r="T255" i="1"/>
  <c r="T256" i="1"/>
  <c r="T257" i="1"/>
  <c r="T258" i="1"/>
  <c r="T259" i="1"/>
  <c r="T260" i="1"/>
  <c r="T261" i="1"/>
  <c r="T262" i="1"/>
  <c r="T263" i="1"/>
  <c r="T264" i="1"/>
  <c r="T265" i="1"/>
  <c r="T266" i="1"/>
  <c r="T267" i="1"/>
  <c r="T268" i="1"/>
  <c r="T269" i="1"/>
  <c r="T270" i="1"/>
  <c r="T271" i="1"/>
  <c r="T272" i="1"/>
  <c r="T273" i="1"/>
  <c r="T274" i="1"/>
  <c r="T275" i="1"/>
  <c r="T276" i="1"/>
  <c r="T277" i="1"/>
  <c r="T278" i="1"/>
  <c r="T279" i="1"/>
  <c r="T280" i="1"/>
  <c r="T281" i="1"/>
  <c r="T282" i="1"/>
  <c r="T283" i="1"/>
  <c r="T284" i="1"/>
  <c r="T285" i="1"/>
  <c r="T286" i="1"/>
  <c r="T287" i="1"/>
  <c r="T288" i="1"/>
  <c r="T289" i="1"/>
  <c r="T290" i="1"/>
  <c r="T291" i="1"/>
  <c r="T292" i="1"/>
  <c r="T293" i="1"/>
  <c r="T294" i="1"/>
  <c r="T295" i="1"/>
  <c r="T296" i="1"/>
  <c r="T297" i="1"/>
  <c r="T298" i="1"/>
  <c r="T299" i="1"/>
  <c r="T300" i="1"/>
  <c r="T301" i="1"/>
  <c r="T302" i="1"/>
  <c r="T303" i="1"/>
  <c r="T304" i="1"/>
  <c r="T305" i="1"/>
  <c r="T306" i="1"/>
  <c r="T307" i="1"/>
  <c r="T308" i="1"/>
  <c r="T309" i="1"/>
  <c r="T310" i="1"/>
  <c r="T311" i="1"/>
  <c r="T312" i="1"/>
  <c r="T313" i="1"/>
  <c r="T314" i="1"/>
  <c r="T315" i="1"/>
  <c r="T316" i="1"/>
  <c r="T317" i="1"/>
  <c r="T318" i="1"/>
  <c r="T319" i="1"/>
  <c r="T320" i="1"/>
  <c r="T321" i="1"/>
  <c r="T322" i="1"/>
  <c r="T323" i="1"/>
  <c r="T324" i="1"/>
  <c r="T325" i="1"/>
  <c r="T326" i="1"/>
  <c r="T327" i="1"/>
  <c r="T328" i="1"/>
  <c r="T329" i="1"/>
  <c r="T330" i="1"/>
  <c r="T331" i="1"/>
  <c r="T332" i="1"/>
  <c r="T333" i="1"/>
  <c r="T334" i="1"/>
  <c r="T335" i="1"/>
  <c r="T336" i="1"/>
  <c r="T337" i="1"/>
  <c r="T338" i="1"/>
  <c r="T339" i="1"/>
  <c r="T340" i="1"/>
  <c r="T341" i="1"/>
  <c r="T342" i="1"/>
  <c r="T343" i="1"/>
  <c r="T344" i="1"/>
  <c r="T345" i="1"/>
  <c r="T346" i="1"/>
  <c r="T347" i="1"/>
  <c r="T348" i="1"/>
  <c r="T349" i="1"/>
  <c r="T350" i="1"/>
  <c r="T351" i="1"/>
  <c r="T352" i="1"/>
  <c r="T353" i="1"/>
  <c r="T354" i="1"/>
  <c r="T355" i="1"/>
  <c r="T356" i="1"/>
  <c r="T357" i="1"/>
  <c r="T358" i="1"/>
  <c r="T359" i="1"/>
  <c r="T360" i="1"/>
  <c r="T361" i="1"/>
  <c r="T362" i="1"/>
  <c r="T363" i="1"/>
  <c r="T364" i="1"/>
  <c r="T365" i="1"/>
  <c r="T366" i="1"/>
  <c r="T367" i="1"/>
  <c r="T368" i="1"/>
  <c r="T369" i="1"/>
  <c r="T370" i="1"/>
  <c r="T371" i="1"/>
  <c r="T372" i="1"/>
  <c r="T373" i="1"/>
  <c r="T374" i="1"/>
  <c r="T375" i="1"/>
  <c r="T376" i="1"/>
  <c r="T377" i="1"/>
  <c r="T378" i="1"/>
  <c r="T379" i="1"/>
  <c r="T380" i="1"/>
  <c r="T381" i="1"/>
  <c r="T382" i="1"/>
  <c r="T383" i="1"/>
  <c r="T384" i="1"/>
  <c r="T385" i="1"/>
  <c r="T386" i="1"/>
  <c r="T387" i="1"/>
  <c r="T388" i="1"/>
  <c r="T389" i="1"/>
  <c r="T390" i="1"/>
  <c r="T391" i="1"/>
  <c r="T392" i="1"/>
  <c r="T393" i="1"/>
  <c r="T394" i="1"/>
  <c r="T395" i="1"/>
  <c r="T396" i="1"/>
  <c r="T397" i="1"/>
  <c r="T398" i="1"/>
  <c r="T399" i="1"/>
  <c r="T400" i="1"/>
  <c r="T401" i="1"/>
  <c r="T402" i="1"/>
  <c r="T403" i="1"/>
  <c r="T404" i="1"/>
  <c r="T405" i="1"/>
  <c r="T406" i="1"/>
  <c r="T407" i="1"/>
  <c r="T408" i="1"/>
  <c r="T409" i="1"/>
  <c r="T410" i="1"/>
  <c r="T411" i="1"/>
  <c r="T412" i="1"/>
  <c r="T413" i="1"/>
  <c r="T414" i="1"/>
  <c r="T415" i="1"/>
  <c r="T416" i="1"/>
  <c r="T417" i="1"/>
  <c r="T418" i="1"/>
  <c r="T419" i="1"/>
  <c r="T420" i="1"/>
  <c r="T421" i="1"/>
  <c r="T422" i="1"/>
  <c r="T423" i="1"/>
  <c r="T424" i="1"/>
  <c r="T425" i="1"/>
  <c r="T426" i="1"/>
  <c r="T427" i="1"/>
  <c r="T428" i="1"/>
  <c r="T429" i="1"/>
  <c r="T430" i="1"/>
  <c r="T431" i="1"/>
  <c r="T432" i="1"/>
  <c r="T433" i="1"/>
  <c r="T434" i="1"/>
  <c r="T435" i="1"/>
  <c r="T436" i="1"/>
  <c r="T437" i="1"/>
  <c r="T438" i="1"/>
  <c r="T439" i="1"/>
  <c r="T440" i="1"/>
  <c r="T441" i="1"/>
  <c r="T442" i="1"/>
  <c r="T443" i="1"/>
  <c r="T444" i="1"/>
  <c r="T445" i="1"/>
  <c r="T446" i="1"/>
  <c r="T447" i="1"/>
  <c r="T448" i="1"/>
  <c r="T449" i="1"/>
  <c r="T450" i="1"/>
  <c r="T451" i="1"/>
  <c r="T452" i="1"/>
  <c r="T453" i="1"/>
  <c r="T454" i="1"/>
  <c r="T455" i="1"/>
  <c r="T456" i="1"/>
  <c r="T457" i="1"/>
  <c r="T458" i="1"/>
  <c r="T459" i="1"/>
  <c r="T460" i="1"/>
  <c r="T461" i="1"/>
  <c r="T462" i="1"/>
  <c r="T463" i="1"/>
  <c r="T464" i="1"/>
  <c r="T465" i="1"/>
  <c r="T466" i="1"/>
  <c r="T467" i="1"/>
  <c r="T468" i="1"/>
  <c r="T469" i="1"/>
  <c r="T470" i="1"/>
  <c r="T471" i="1"/>
  <c r="T472" i="1"/>
  <c r="T473" i="1"/>
  <c r="T474" i="1"/>
  <c r="T475" i="1"/>
  <c r="T476" i="1"/>
  <c r="T477" i="1"/>
  <c r="T478" i="1"/>
  <c r="T479" i="1"/>
  <c r="T480" i="1"/>
  <c r="T481" i="1"/>
  <c r="T482" i="1"/>
  <c r="T483" i="1"/>
  <c r="T484" i="1"/>
  <c r="T485" i="1"/>
  <c r="T486" i="1"/>
  <c r="T487" i="1"/>
  <c r="T488" i="1"/>
  <c r="T489" i="1"/>
  <c r="T490" i="1"/>
  <c r="T491" i="1"/>
  <c r="T492" i="1"/>
  <c r="T493" i="1"/>
  <c r="T494" i="1"/>
  <c r="T495" i="1"/>
  <c r="T496" i="1"/>
  <c r="T497" i="1"/>
  <c r="T498" i="1"/>
  <c r="T499" i="1"/>
  <c r="T500" i="1"/>
  <c r="T501" i="1"/>
  <c r="T502" i="1"/>
  <c r="T503" i="1"/>
  <c r="T504" i="1"/>
  <c r="T505" i="1"/>
  <c r="T506" i="1"/>
  <c r="T507" i="1"/>
  <c r="T508" i="1"/>
  <c r="T509" i="1"/>
  <c r="T510" i="1"/>
  <c r="T511" i="1"/>
  <c r="T512" i="1"/>
  <c r="T513" i="1"/>
  <c r="T514" i="1"/>
  <c r="T515" i="1"/>
  <c r="T516" i="1"/>
  <c r="T517" i="1"/>
  <c r="T518" i="1"/>
  <c r="T519" i="1"/>
  <c r="T520" i="1"/>
  <c r="T521" i="1"/>
  <c r="T522" i="1"/>
  <c r="T523" i="1"/>
  <c r="T524" i="1"/>
  <c r="T525" i="1"/>
  <c r="T526" i="1"/>
  <c r="T527" i="1"/>
  <c r="T528" i="1"/>
  <c r="T529" i="1"/>
  <c r="T530" i="1"/>
  <c r="T531" i="1"/>
  <c r="T532" i="1"/>
  <c r="T533" i="1"/>
  <c r="T534" i="1"/>
  <c r="T535" i="1"/>
  <c r="T536" i="1"/>
  <c r="T537" i="1"/>
  <c r="T538" i="1"/>
  <c r="T539" i="1"/>
  <c r="T540" i="1"/>
  <c r="T541" i="1"/>
  <c r="T542" i="1"/>
  <c r="T543" i="1"/>
  <c r="T544" i="1"/>
  <c r="T545" i="1"/>
  <c r="T546" i="1"/>
  <c r="T547" i="1"/>
  <c r="T548" i="1"/>
  <c r="T549" i="1"/>
  <c r="T550" i="1"/>
  <c r="T551" i="1"/>
  <c r="T552" i="1"/>
  <c r="T553" i="1"/>
  <c r="T554" i="1"/>
  <c r="T555" i="1"/>
  <c r="T556" i="1"/>
  <c r="T557" i="1"/>
  <c r="T558" i="1"/>
  <c r="T559" i="1"/>
  <c r="T560" i="1"/>
  <c r="T561" i="1"/>
  <c r="T562" i="1"/>
  <c r="T563" i="1"/>
  <c r="T564" i="1"/>
  <c r="T565" i="1"/>
  <c r="T566" i="1"/>
  <c r="T567" i="1"/>
  <c r="T568" i="1"/>
  <c r="T569" i="1"/>
  <c r="T570" i="1"/>
  <c r="T571" i="1"/>
  <c r="T572" i="1"/>
  <c r="T573" i="1"/>
  <c r="T574" i="1"/>
  <c r="T575" i="1"/>
  <c r="T576" i="1"/>
  <c r="T577" i="1"/>
  <c r="T578" i="1"/>
  <c r="T579" i="1"/>
  <c r="T580" i="1"/>
  <c r="T581" i="1"/>
  <c r="T582" i="1"/>
  <c r="T583" i="1"/>
  <c r="T584" i="1"/>
  <c r="T585" i="1"/>
  <c r="T586" i="1"/>
  <c r="T587" i="1"/>
  <c r="T588" i="1"/>
  <c r="T589" i="1"/>
  <c r="T590" i="1"/>
  <c r="T591" i="1"/>
  <c r="T592" i="1"/>
  <c r="T593" i="1"/>
  <c r="T594" i="1"/>
  <c r="T595" i="1"/>
  <c r="T596" i="1"/>
  <c r="T597" i="1"/>
  <c r="T598" i="1"/>
  <c r="T599" i="1"/>
  <c r="T600" i="1"/>
  <c r="T601" i="1"/>
  <c r="T602" i="1"/>
  <c r="T603" i="1"/>
  <c r="T604" i="1"/>
  <c r="T605" i="1"/>
  <c r="T606" i="1"/>
  <c r="T607" i="1"/>
  <c r="T608" i="1"/>
  <c r="T609" i="1"/>
  <c r="T610" i="1"/>
  <c r="T611" i="1"/>
  <c r="T612" i="1"/>
  <c r="T613" i="1"/>
  <c r="T614" i="1"/>
  <c r="T615" i="1"/>
  <c r="T616" i="1"/>
  <c r="T617" i="1"/>
  <c r="T618" i="1"/>
  <c r="T619" i="1"/>
  <c r="T620" i="1"/>
  <c r="T621" i="1"/>
  <c r="T622" i="1"/>
  <c r="T623" i="1"/>
  <c r="T624" i="1"/>
  <c r="T625" i="1"/>
  <c r="T626" i="1"/>
  <c r="T627" i="1"/>
  <c r="T628" i="1"/>
  <c r="T629" i="1"/>
  <c r="T630" i="1"/>
  <c r="T631" i="1"/>
  <c r="T632" i="1"/>
  <c r="T633" i="1"/>
  <c r="T634" i="1"/>
  <c r="T635" i="1"/>
  <c r="T636" i="1"/>
  <c r="T637" i="1"/>
  <c r="T638" i="1"/>
  <c r="T639" i="1"/>
  <c r="T640" i="1"/>
  <c r="T641" i="1"/>
  <c r="T642" i="1"/>
  <c r="T643" i="1"/>
  <c r="T644" i="1"/>
  <c r="T645" i="1"/>
  <c r="T646" i="1"/>
  <c r="T647" i="1"/>
  <c r="T648" i="1"/>
  <c r="T649" i="1"/>
  <c r="T650" i="1"/>
  <c r="T651" i="1"/>
  <c r="T652" i="1"/>
  <c r="T653" i="1"/>
  <c r="T654" i="1"/>
  <c r="T655" i="1"/>
  <c r="T656" i="1"/>
  <c r="T657" i="1"/>
  <c r="T658" i="1"/>
  <c r="T659" i="1"/>
  <c r="T660" i="1"/>
  <c r="T661" i="1"/>
  <c r="T662" i="1"/>
  <c r="T663" i="1"/>
  <c r="T664" i="1"/>
  <c r="T665" i="1"/>
  <c r="T666" i="1"/>
  <c r="T667" i="1"/>
  <c r="T668" i="1"/>
  <c r="T669" i="1"/>
  <c r="T670" i="1"/>
  <c r="T671" i="1"/>
  <c r="T672" i="1"/>
  <c r="T673" i="1"/>
  <c r="T674" i="1"/>
  <c r="T675" i="1"/>
  <c r="T676" i="1"/>
  <c r="T677" i="1"/>
  <c r="T678" i="1"/>
  <c r="T679" i="1"/>
  <c r="T680" i="1"/>
  <c r="T681" i="1"/>
  <c r="T682" i="1"/>
  <c r="T683" i="1"/>
  <c r="T684" i="1"/>
  <c r="T685" i="1"/>
  <c r="T686" i="1"/>
  <c r="T687" i="1"/>
  <c r="T688" i="1"/>
  <c r="T689" i="1"/>
  <c r="T690" i="1"/>
  <c r="T691" i="1"/>
  <c r="T692" i="1"/>
  <c r="T693" i="1"/>
  <c r="T694" i="1"/>
  <c r="T695" i="1"/>
  <c r="T696" i="1"/>
  <c r="T697" i="1"/>
  <c r="T698" i="1"/>
  <c r="T699" i="1"/>
  <c r="T700" i="1"/>
  <c r="T701" i="1"/>
  <c r="T702" i="1"/>
  <c r="T703" i="1"/>
  <c r="T704" i="1"/>
  <c r="T705" i="1"/>
  <c r="T706" i="1"/>
  <c r="T707" i="1"/>
  <c r="T708" i="1"/>
  <c r="T709" i="1"/>
  <c r="T710" i="1"/>
  <c r="T711" i="1"/>
  <c r="T712" i="1"/>
  <c r="T713" i="1"/>
  <c r="T714" i="1"/>
  <c r="T715" i="1"/>
  <c r="T716" i="1"/>
  <c r="T717" i="1"/>
  <c r="T718" i="1"/>
  <c r="T719" i="1"/>
  <c r="T720" i="1"/>
  <c r="T721" i="1"/>
  <c r="T722" i="1"/>
  <c r="T723" i="1"/>
  <c r="T724" i="1"/>
  <c r="T725" i="1"/>
  <c r="T726" i="1"/>
  <c r="T727" i="1"/>
  <c r="T728" i="1"/>
  <c r="T729" i="1"/>
  <c r="T730" i="1"/>
  <c r="T731" i="1"/>
  <c r="T732" i="1"/>
  <c r="T733" i="1"/>
  <c r="T2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734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</calcChain>
</file>

<file path=xl/sharedStrings.xml><?xml version="1.0" encoding="utf-8"?>
<sst xmlns="http://schemas.openxmlformats.org/spreadsheetml/2006/main" count="9418" uniqueCount="377">
  <si>
    <t>Sort</t>
  </si>
  <si>
    <t>Site</t>
  </si>
  <si>
    <t>Date</t>
  </si>
  <si>
    <t>time collected</t>
  </si>
  <si>
    <t>time burnt</t>
  </si>
  <si>
    <t>BurnSession</t>
  </si>
  <si>
    <t>replicate</t>
  </si>
  <si>
    <t>species_code</t>
  </si>
  <si>
    <t>species_name</t>
  </si>
  <si>
    <t>Taxonomic_status</t>
  </si>
  <si>
    <t>SpeciesNames</t>
  </si>
  <si>
    <t>Accepted_family</t>
  </si>
  <si>
    <t>growth_form</t>
  </si>
  <si>
    <t>Vegtype</t>
  </si>
  <si>
    <t>TimeToFlaming(s)</t>
  </si>
  <si>
    <t>PostBurntMassEstimate(%)</t>
  </si>
  <si>
    <t>MaximumFlameTemperature(°C)</t>
  </si>
  <si>
    <t>blowtorch</t>
  </si>
  <si>
    <t>FMC(%)</t>
  </si>
  <si>
    <t>FMC_proportion</t>
  </si>
  <si>
    <t>DataSource</t>
  </si>
  <si>
    <t>Origin</t>
  </si>
  <si>
    <t>Biome</t>
  </si>
  <si>
    <t>Stem</t>
  </si>
  <si>
    <t>SppAbbrev</t>
  </si>
  <si>
    <t>Rep</t>
  </si>
  <si>
    <t>MT</t>
  </si>
  <si>
    <t>BL</t>
  </si>
  <si>
    <t>BT</t>
  </si>
  <si>
    <t>BR</t>
  </si>
  <si>
    <t>BB</t>
  </si>
  <si>
    <t>BB_%</t>
  </si>
  <si>
    <t>FreshWt</t>
  </si>
  <si>
    <t>DryWt</t>
  </si>
  <si>
    <t>Moisture_Content</t>
  </si>
  <si>
    <t>Notes</t>
  </si>
  <si>
    <t>Cederberg</t>
  </si>
  <si>
    <t>AM</t>
  </si>
  <si>
    <t>10:10:00</t>
  </si>
  <si>
    <t>10AM - 1PM</t>
  </si>
  <si>
    <t>PASTRU</t>
  </si>
  <si>
    <t>Passerina truncata</t>
  </si>
  <si>
    <t>Accepted</t>
  </si>
  <si>
    <t>passerina truncata</t>
  </si>
  <si>
    <t>Thymelaeaceae</t>
  </si>
  <si>
    <t>Shrub</t>
  </si>
  <si>
    <t>Fynbos</t>
  </si>
  <si>
    <t>PhD</t>
  </si>
  <si>
    <t>Native</t>
  </si>
  <si>
    <t>10:20:00</t>
  </si>
  <si>
    <t>RESSIE</t>
  </si>
  <si>
    <t>Restio sieberi</t>
  </si>
  <si>
    <t>restio sieberi</t>
  </si>
  <si>
    <t>Restionaceae</t>
  </si>
  <si>
    <t>Herb</t>
  </si>
  <si>
    <t>10:30:00</t>
  </si>
  <si>
    <t>PROLAU</t>
  </si>
  <si>
    <t>Protea laurifolia</t>
  </si>
  <si>
    <t>protea laurifolia</t>
  </si>
  <si>
    <t>Proteaceae</t>
  </si>
  <si>
    <t>10:55:00</t>
  </si>
  <si>
    <t>10:59:00</t>
  </si>
  <si>
    <t>11:06:00</t>
  </si>
  <si>
    <t>11:14:00</t>
  </si>
  <si>
    <t>11:19:00</t>
  </si>
  <si>
    <t>11:25:00</t>
  </si>
  <si>
    <t>11:37:00</t>
  </si>
  <si>
    <t>11:46:00</t>
  </si>
  <si>
    <t>11:52:00</t>
  </si>
  <si>
    <t>12:11:00</t>
  </si>
  <si>
    <t>12:20:00</t>
  </si>
  <si>
    <t>12:26:00</t>
  </si>
  <si>
    <t>12:32:00</t>
  </si>
  <si>
    <t>12:38:00</t>
  </si>
  <si>
    <t>12:44:00</t>
  </si>
  <si>
    <t>14:14:00</t>
  </si>
  <si>
    <t>2PM - 5PM</t>
  </si>
  <si>
    <t>14:20:00</t>
  </si>
  <si>
    <t>14:24:00</t>
  </si>
  <si>
    <t>PM</t>
  </si>
  <si>
    <t>14:36:00</t>
  </si>
  <si>
    <t>14:44:00</t>
  </si>
  <si>
    <t>14:50:00</t>
  </si>
  <si>
    <t>15:00:00</t>
  </si>
  <si>
    <t>15:06:00</t>
  </si>
  <si>
    <t>15:10:00</t>
  </si>
  <si>
    <t>15:19:00</t>
  </si>
  <si>
    <t>15:27:00</t>
  </si>
  <si>
    <t>15:32:00</t>
  </si>
  <si>
    <t>15:41:00</t>
  </si>
  <si>
    <t>15:46:00</t>
  </si>
  <si>
    <t>15:50:00</t>
  </si>
  <si>
    <t>16:12:00</t>
  </si>
  <si>
    <t>16:18:00</t>
  </si>
  <si>
    <t>16:27:00</t>
  </si>
  <si>
    <t>18:21:00</t>
  </si>
  <si>
    <t>4PM - 6PM</t>
  </si>
  <si>
    <t>WIDCED</t>
  </si>
  <si>
    <t>Widdringtonia cedarbergensis</t>
  </si>
  <si>
    <t>widdringtonia cedarbergensis</t>
  </si>
  <si>
    <t>Cupressaceae</t>
  </si>
  <si>
    <t>Tree</t>
  </si>
  <si>
    <t>18:25:00</t>
  </si>
  <si>
    <t>18:30:00</t>
  </si>
  <si>
    <t>18:37:00</t>
  </si>
  <si>
    <t>18:42:00</t>
  </si>
  <si>
    <t>13:41:00</t>
  </si>
  <si>
    <t>STOPLU</t>
  </si>
  <si>
    <t>Stoebe plumosa</t>
  </si>
  <si>
    <t>Synonym</t>
  </si>
  <si>
    <t>seriphium plumosum</t>
  </si>
  <si>
    <t>Asteraceae</t>
  </si>
  <si>
    <t>14:04:00</t>
  </si>
  <si>
    <t>ACRHUN</t>
  </si>
  <si>
    <t>Acrosanthes humifusa</t>
  </si>
  <si>
    <t>acrosanthes humifusa</t>
  </si>
  <si>
    <t>Aizoaceae</t>
  </si>
  <si>
    <t>PELSCA</t>
  </si>
  <si>
    <t>Pelargonium scabrum</t>
  </si>
  <si>
    <t>pelargonium scabrum</t>
  </si>
  <si>
    <t>Geraniaceae</t>
  </si>
  <si>
    <t>14:25:00</t>
  </si>
  <si>
    <t>ELYGNA</t>
  </si>
  <si>
    <t>Elytropappus gnaphaloides</t>
  </si>
  <si>
    <t>myrovernix gnaphaloides</t>
  </si>
  <si>
    <t>14:29:00</t>
  </si>
  <si>
    <t>DODVIS</t>
  </si>
  <si>
    <t>Dodonaea viscosa</t>
  </si>
  <si>
    <t>dodonaea viscosa</t>
  </si>
  <si>
    <t>Sapindaceae</t>
  </si>
  <si>
    <t>14:34:00</t>
  </si>
  <si>
    <t>PRONIT</t>
  </si>
  <si>
    <t>Protea nitida</t>
  </si>
  <si>
    <t>protea nitida</t>
  </si>
  <si>
    <t>14:40:00</t>
  </si>
  <si>
    <t>14:51:00</t>
  </si>
  <si>
    <t>14:56:00</t>
  </si>
  <si>
    <t>15:01:00</t>
  </si>
  <si>
    <t>15:15:00</t>
  </si>
  <si>
    <t>15:20:00</t>
  </si>
  <si>
    <t>15:37:00</t>
  </si>
  <si>
    <t>15:49:00</t>
  </si>
  <si>
    <t>15:54:00</t>
  </si>
  <si>
    <t>16:23:00</t>
  </si>
  <si>
    <t>16:32:00</t>
  </si>
  <si>
    <t>16:42:00</t>
  </si>
  <si>
    <t>16:47:00</t>
  </si>
  <si>
    <t>17:20:00</t>
  </si>
  <si>
    <t>17:26:00</t>
  </si>
  <si>
    <t>17:31:00</t>
  </si>
  <si>
    <t>17:37:00</t>
  </si>
  <si>
    <t>13:00:00</t>
  </si>
  <si>
    <t>ELYRHI</t>
  </si>
  <si>
    <t>Elytropappus rhinocerotis</t>
  </si>
  <si>
    <t>elytropappus rhinocerotis</t>
  </si>
  <si>
    <t>13:02:00</t>
  </si>
  <si>
    <t>PTEAQU</t>
  </si>
  <si>
    <t>Pteridium aquilinum</t>
  </si>
  <si>
    <t>pteridium aquilinum</t>
  </si>
  <si>
    <t>Dennstaedtiaceae</t>
  </si>
  <si>
    <t>13:10:00</t>
  </si>
  <si>
    <t>SCHGRA</t>
  </si>
  <si>
    <t>Schoenus gracillimus</t>
  </si>
  <si>
    <t>schoenus gracillimus</t>
  </si>
  <si>
    <t>Cyperaceae</t>
  </si>
  <si>
    <t>13:15:00</t>
  </si>
  <si>
    <t>PARBRA</t>
  </si>
  <si>
    <t>Paranomus bracteolaris</t>
  </si>
  <si>
    <t>paranomus bracteolaris</t>
  </si>
  <si>
    <t>13:20:00</t>
  </si>
  <si>
    <t>WILINC</t>
  </si>
  <si>
    <t>Willdenowia incurvata</t>
  </si>
  <si>
    <t>willdenowia incurvata</t>
  </si>
  <si>
    <t>13:24:00</t>
  </si>
  <si>
    <t>MAYOLE</t>
  </si>
  <si>
    <t>Maytenus oleoides</t>
  </si>
  <si>
    <t>maytenus oleoides</t>
  </si>
  <si>
    <t>Celastraceae</t>
  </si>
  <si>
    <t>BRASTE</t>
  </si>
  <si>
    <t>Brabejum stellatifolium</t>
  </si>
  <si>
    <t>brabejum stellatifolium</t>
  </si>
  <si>
    <t>13:35:00</t>
  </si>
  <si>
    <t>METANG</t>
  </si>
  <si>
    <t>Metrosideros angustifolia</t>
  </si>
  <si>
    <t>metrosideros angustifolia</t>
  </si>
  <si>
    <t>Myrtaceae</t>
  </si>
  <si>
    <t>CANROB</t>
  </si>
  <si>
    <t>Cannomois robusta</t>
  </si>
  <si>
    <t>cannomois robusta</t>
  </si>
  <si>
    <t>13:45:00</t>
  </si>
  <si>
    <t>LEUGAL</t>
  </si>
  <si>
    <t>Leucadendron glaberrimum</t>
  </si>
  <si>
    <t>leucadendron glaberrimum</t>
  </si>
  <si>
    <t>13:50:00</t>
  </si>
  <si>
    <t>KNIUVA</t>
  </si>
  <si>
    <t>Kniphofia uvaria</t>
  </si>
  <si>
    <t>kniphofia uvaria</t>
  </si>
  <si>
    <t>Asphodelaceae</t>
  </si>
  <si>
    <t>13:57:00</t>
  </si>
  <si>
    <t>LEUPUB</t>
  </si>
  <si>
    <t>Leucadendron pubescens</t>
  </si>
  <si>
    <t>leucadendron pubescens</t>
  </si>
  <si>
    <t>14:12:00</t>
  </si>
  <si>
    <t>14:15:00</t>
  </si>
  <si>
    <t>14:21:00</t>
  </si>
  <si>
    <t>14:30:00</t>
  </si>
  <si>
    <t>14:48:00</t>
  </si>
  <si>
    <t>14:54:00</t>
  </si>
  <si>
    <t>14:59:00</t>
  </si>
  <si>
    <t>15:04:00</t>
  </si>
  <si>
    <t>15:23:00</t>
  </si>
  <si>
    <t>15:34:00</t>
  </si>
  <si>
    <t>15:39:00</t>
  </si>
  <si>
    <t>15:43:00</t>
  </si>
  <si>
    <t>16:02:00</t>
  </si>
  <si>
    <t>16:09:00</t>
  </si>
  <si>
    <t>16:13:00</t>
  </si>
  <si>
    <t>George</t>
  </si>
  <si>
    <t>PASRIG</t>
  </si>
  <si>
    <t>Passerina rigida</t>
  </si>
  <si>
    <t>passerina rigida</t>
  </si>
  <si>
    <t>MSc</t>
  </si>
  <si>
    <t>ERIDIS</t>
  </si>
  <si>
    <t>Erica discolor</t>
  </si>
  <si>
    <t>erica discolor</t>
  </si>
  <si>
    <t>Ericaceae</t>
  </si>
  <si>
    <t>ERICAN</t>
  </si>
  <si>
    <t>Erica canaliculata</t>
  </si>
  <si>
    <t>erica canaliculata</t>
  </si>
  <si>
    <t>CLIERI</t>
  </si>
  <si>
    <t>Cliffortia ericifolia</t>
  </si>
  <si>
    <t>cliffortia ericifolia</t>
  </si>
  <si>
    <t>Rosaceae</t>
  </si>
  <si>
    <t>CLIILI</t>
  </si>
  <si>
    <t>Cliffortia ilicifolia</t>
  </si>
  <si>
    <t>cliffortia ilicifolia</t>
  </si>
  <si>
    <t>AGAOVA</t>
  </si>
  <si>
    <t>Agathosma ovata</t>
  </si>
  <si>
    <t>agathosma ovata</t>
  </si>
  <si>
    <t>Rutaceae</t>
  </si>
  <si>
    <t>METMUR</t>
  </si>
  <si>
    <t>Metalasia muricata</t>
  </si>
  <si>
    <t>metalasia muricata</t>
  </si>
  <si>
    <t>PHYAXI</t>
  </si>
  <si>
    <t>Phylica axillaris</t>
  </si>
  <si>
    <t>phylica axillaris</t>
  </si>
  <si>
    <t>Rhamnaceae</t>
  </si>
  <si>
    <t>ASPSPI</t>
  </si>
  <si>
    <t>Aspalathus spinosa</t>
  </si>
  <si>
    <t>aspalathus spinosa</t>
  </si>
  <si>
    <t>Fabaceae</t>
  </si>
  <si>
    <t>LEUEUC</t>
  </si>
  <si>
    <t>Leucadendron eucalyptifolium</t>
  </si>
  <si>
    <t>leucadendron eucalyptifolium</t>
  </si>
  <si>
    <t>PTETRI</t>
  </si>
  <si>
    <t>Pterocelastrus tricuspidatus</t>
  </si>
  <si>
    <t>pterocelastrus tricuspidatus</t>
  </si>
  <si>
    <t>Thicket</t>
  </si>
  <si>
    <t>SEALUC</t>
  </si>
  <si>
    <t>Searsia lucida</t>
  </si>
  <si>
    <t>searsia lucida</t>
  </si>
  <si>
    <t>Anacardiaceae</t>
  </si>
  <si>
    <t>TARLIT</t>
  </si>
  <si>
    <t>Tarchonanthus littoralis</t>
  </si>
  <si>
    <t>tarchonanthus littoralis</t>
  </si>
  <si>
    <t>DIODIC</t>
  </si>
  <si>
    <t>Diospyros dichrophylla</t>
  </si>
  <si>
    <t>diospyros dichrophylla</t>
  </si>
  <si>
    <t>Ebenaceae</t>
  </si>
  <si>
    <t>OSTMON</t>
  </si>
  <si>
    <t>Osteospermum moniliferum</t>
  </si>
  <si>
    <t>osteospermum moniliferum</t>
  </si>
  <si>
    <t>SIDINE</t>
  </si>
  <si>
    <t>Sideroxylon inerme</t>
  </si>
  <si>
    <t>sideroxylon inerme</t>
  </si>
  <si>
    <t>Sapotaceae</t>
  </si>
  <si>
    <t>CASPER</t>
  </si>
  <si>
    <t>Cassine peragua</t>
  </si>
  <si>
    <t>cassine peragua</t>
  </si>
  <si>
    <t>GYMBUX</t>
  </si>
  <si>
    <t>Gymnosporia buxifolia</t>
  </si>
  <si>
    <t>gymnosporia buxifolia</t>
  </si>
  <si>
    <t>SCOZEY</t>
  </si>
  <si>
    <t>Scolopia zeyheri</t>
  </si>
  <si>
    <t>scolopia zeyheri</t>
  </si>
  <si>
    <t>Salicaceae</t>
  </si>
  <si>
    <t>OSYCOM</t>
  </si>
  <si>
    <t>Osyris compressa</t>
  </si>
  <si>
    <t>osyris compressa</t>
  </si>
  <si>
    <t>Santalaceae</t>
  </si>
  <si>
    <t>PINPIN</t>
  </si>
  <si>
    <t>Pinus pinaster</t>
  </si>
  <si>
    <t>pinus pinaster</t>
  </si>
  <si>
    <t>Pinaceae</t>
  </si>
  <si>
    <t>IAPs</t>
  </si>
  <si>
    <t>Alien</t>
  </si>
  <si>
    <t>PINRAD</t>
  </si>
  <si>
    <t>Pinus radiata</t>
  </si>
  <si>
    <t>pinus radiata</t>
  </si>
  <si>
    <t>CESLAE</t>
  </si>
  <si>
    <t>Cestrum laevigatum</t>
  </si>
  <si>
    <t>cestrum laevigatum</t>
  </si>
  <si>
    <t>Solanaceae</t>
  </si>
  <si>
    <t>ACACYC</t>
  </si>
  <si>
    <t>Acacia cyclops</t>
  </si>
  <si>
    <t>acacia cyclops</t>
  </si>
  <si>
    <t>ACAMEL</t>
  </si>
  <si>
    <t>Acacia melanoxylon</t>
  </si>
  <si>
    <t>acacia melanoxylon</t>
  </si>
  <si>
    <t>ACASAL</t>
  </si>
  <si>
    <t>Acacia saligna</t>
  </si>
  <si>
    <t>acacia saligna</t>
  </si>
  <si>
    <t>ACAMEA</t>
  </si>
  <si>
    <t>Acacia mearnsii</t>
  </si>
  <si>
    <t>acacia mearnsii</t>
  </si>
  <si>
    <t>EUCCAM</t>
  </si>
  <si>
    <t>Eucalyptus camaldulensis</t>
  </si>
  <si>
    <t>eucalyptus camaldulensis</t>
  </si>
  <si>
    <t>CALVIM</t>
  </si>
  <si>
    <t>Callistemon viminalis</t>
  </si>
  <si>
    <t>melaleuca viminalis</t>
  </si>
  <si>
    <t>LEPLAE</t>
  </si>
  <si>
    <t>Leptospermum laevigatum</t>
  </si>
  <si>
    <t>leptospermum laevigatum</t>
  </si>
  <si>
    <t>agathosma apiculata</t>
  </si>
  <si>
    <t>NA</t>
  </si>
  <si>
    <t>AGAAPI</t>
  </si>
  <si>
    <t>passerina corymbosa</t>
  </si>
  <si>
    <t>PASCOR</t>
  </si>
  <si>
    <t>restio leptocladus</t>
  </si>
  <si>
    <t>RESLEP</t>
  </si>
  <si>
    <t>felicia echinata</t>
  </si>
  <si>
    <t>FELECH</t>
  </si>
  <si>
    <t>helichrysum teretifolium</t>
  </si>
  <si>
    <t>HELTER</t>
  </si>
  <si>
    <t>phylica litoralis</t>
  </si>
  <si>
    <t>PHYLIT</t>
  </si>
  <si>
    <t>anthospermum aethiopicum</t>
  </si>
  <si>
    <t>ANTAET</t>
  </si>
  <si>
    <t>syncarpha sordescens</t>
  </si>
  <si>
    <t>SYNSOR</t>
  </si>
  <si>
    <t>metalasia densa</t>
  </si>
  <si>
    <t>METDEN</t>
  </si>
  <si>
    <t>Fresh wt collected on Friday after rain</t>
  </si>
  <si>
    <t>helichrysum cymosum</t>
  </si>
  <si>
    <t>HELCYM</t>
  </si>
  <si>
    <t>brachylaena discolor</t>
  </si>
  <si>
    <t>Garden</t>
  </si>
  <si>
    <t>BRADIS</t>
  </si>
  <si>
    <t>myoporum excelsa</t>
  </si>
  <si>
    <t>MYOEXC</t>
  </si>
  <si>
    <t>metrosideros sp.</t>
  </si>
  <si>
    <t>METSPP</t>
  </si>
  <si>
    <t>chrysanthemoides monilifera</t>
  </si>
  <si>
    <t>CHRMON</t>
  </si>
  <si>
    <t>rapanea gilliana</t>
  </si>
  <si>
    <t>ThickFor</t>
  </si>
  <si>
    <t>Multi</t>
  </si>
  <si>
    <t>RAPGIL</t>
  </si>
  <si>
    <t>searsia glauca</t>
  </si>
  <si>
    <t>SEAGLA</t>
  </si>
  <si>
    <t>olea exasperata</t>
  </si>
  <si>
    <t>OLEEXA</t>
  </si>
  <si>
    <t>mystroxylon aethiopicum</t>
  </si>
  <si>
    <t>MYSAET</t>
  </si>
  <si>
    <t>zanthoxylum capense</t>
  </si>
  <si>
    <t>Single</t>
  </si>
  <si>
    <t>ZANCAP</t>
  </si>
  <si>
    <t>canthium mundianum</t>
  </si>
  <si>
    <t>CANMUN</t>
  </si>
  <si>
    <t>chionanthus foveolatus</t>
  </si>
  <si>
    <t>CHIFOV</t>
  </si>
  <si>
    <t>Fresh wt collected: 3/3/2016</t>
  </si>
  <si>
    <t>tarchonanthus camphoratus</t>
  </si>
  <si>
    <t>TARCAM</t>
  </si>
  <si>
    <t>CapeStFrancis</t>
  </si>
  <si>
    <t>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</si>
</sst>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\ \U\T\C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799"/>
  <sheetViews>
    <sheetView tabSelected="1" workbookViewId="0">
      <pane ySplit="1" topLeftCell="A757" activePane="bottomLeft" state="frozen"/>
      <selection activeCell="M1" sqref="M1"/>
      <selection pane="bottomLeft" activeCell="AJ781" sqref="AJ781"/>
    </sheetView>
  </sheetViews>
  <sheetFormatPr defaultRowHeight="15" x14ac:dyDescent="0.25"/>
  <cols>
    <col min="1" max="1" width="4.5703125" bestFit="1" customWidth="1"/>
    <col min="2" max="2" width="13.42578125" bestFit="1" customWidth="1"/>
    <col min="3" max="3" width="22.28515625" style="2" bestFit="1" customWidth="1"/>
    <col min="4" max="4" width="13.85546875" bestFit="1" customWidth="1"/>
    <col min="5" max="5" width="10.42578125" bestFit="1" customWidth="1"/>
    <col min="6" max="6" width="11.85546875" bestFit="1" customWidth="1"/>
    <col min="7" max="7" width="8.85546875" bestFit="1" customWidth="1"/>
    <col min="8" max="8" width="12.85546875" bestFit="1" customWidth="1"/>
    <col min="9" max="9" width="28.5703125" bestFit="1" customWidth="1"/>
    <col min="10" max="10" width="17" bestFit="1" customWidth="1"/>
    <col min="11" max="11" width="28.28515625" bestFit="1" customWidth="1"/>
    <col min="12" max="12" width="17.28515625" bestFit="1" customWidth="1"/>
    <col min="13" max="13" width="12.5703125" bestFit="1" customWidth="1"/>
    <col min="14" max="14" width="8.42578125" bestFit="1" customWidth="1"/>
    <col min="15" max="15" width="17" bestFit="1" customWidth="1"/>
    <col min="16" max="16" width="25.5703125" bestFit="1" customWidth="1"/>
    <col min="17" max="17" width="31" bestFit="1" customWidth="1"/>
    <col min="18" max="18" width="10" bestFit="1" customWidth="1"/>
    <col min="19" max="19" width="12" bestFit="1" customWidth="1"/>
    <col min="20" max="20" width="15.7109375" bestFit="1" customWidth="1"/>
    <col min="21" max="21" width="11" bestFit="1" customWidth="1"/>
    <col min="22" max="22" width="6.85546875" bestFit="1" customWidth="1"/>
    <col min="23" max="23" width="8.42578125" bestFit="1" customWidth="1"/>
    <col min="24" max="24" width="6.42578125" bestFit="1" customWidth="1"/>
    <col min="25" max="25" width="10.7109375" bestFit="1" customWidth="1"/>
    <col min="26" max="26" width="4.42578125" bestFit="1" customWidth="1"/>
    <col min="27" max="27" width="6" bestFit="1" customWidth="1"/>
    <col min="28" max="28" width="5" bestFit="1" customWidth="1"/>
    <col min="29" max="29" width="6" bestFit="1" customWidth="1"/>
    <col min="30" max="30" width="5" bestFit="1" customWidth="1"/>
    <col min="31" max="31" width="3.28515625" bestFit="1" customWidth="1"/>
    <col min="32" max="32" width="5.85546875" bestFit="1" customWidth="1"/>
    <col min="33" max="33" width="8.5703125" bestFit="1" customWidth="1"/>
    <col min="34" max="34" width="7" bestFit="1" customWidth="1"/>
    <col min="35" max="35" width="17.5703125" bestFit="1" customWidth="1"/>
    <col min="36" max="36" width="35.140625" bestFit="1" customWidth="1"/>
  </cols>
  <sheetData>
    <row r="1" spans="1:3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 x14ac:dyDescent="0.25">
      <c r="A2">
        <v>1</v>
      </c>
      <c r="B2" t="s">
        <v>36</v>
      </c>
      <c r="C2" s="2">
        <v>45636</v>
      </c>
      <c r="D2" t="s">
        <v>37</v>
      </c>
      <c r="E2" t="s">
        <v>38</v>
      </c>
      <c r="F2" t="s">
        <v>39</v>
      </c>
      <c r="G2">
        <v>1</v>
      </c>
      <c r="H2" t="s">
        <v>40</v>
      </c>
      <c r="I2" t="s">
        <v>41</v>
      </c>
      <c r="J2" t="s">
        <v>42</v>
      </c>
      <c r="K2" t="s">
        <v>43</v>
      </c>
      <c r="L2" t="s">
        <v>44</v>
      </c>
      <c r="M2" t="s">
        <v>45</v>
      </c>
      <c r="N2" t="s">
        <v>46</v>
      </c>
      <c r="O2">
        <v>52</v>
      </c>
      <c r="P2">
        <v>55</v>
      </c>
      <c r="Q2">
        <v>734.7</v>
      </c>
      <c r="R2">
        <v>0</v>
      </c>
      <c r="S2">
        <v>41.734860883796998</v>
      </c>
      <c r="T2">
        <f>S2/100</f>
        <v>0.41734860883796998</v>
      </c>
      <c r="U2" t="s">
        <v>47</v>
      </c>
      <c r="V2" t="s">
        <v>48</v>
      </c>
    </row>
    <row r="3" spans="1:36" x14ac:dyDescent="0.25">
      <c r="A3">
        <v>2</v>
      </c>
      <c r="B3" t="s">
        <v>36</v>
      </c>
      <c r="C3" s="2">
        <v>45636</v>
      </c>
      <c r="D3" t="s">
        <v>37</v>
      </c>
      <c r="E3" t="s">
        <v>49</v>
      </c>
      <c r="F3" t="s">
        <v>39</v>
      </c>
      <c r="G3">
        <v>1</v>
      </c>
      <c r="H3" t="s">
        <v>50</v>
      </c>
      <c r="I3" t="s">
        <v>51</v>
      </c>
      <c r="J3" t="s">
        <v>42</v>
      </c>
      <c r="K3" t="s">
        <v>52</v>
      </c>
      <c r="L3" t="s">
        <v>53</v>
      </c>
      <c r="M3" t="s">
        <v>54</v>
      </c>
      <c r="N3" t="s">
        <v>46</v>
      </c>
      <c r="O3">
        <v>120</v>
      </c>
      <c r="P3">
        <v>90</v>
      </c>
      <c r="Q3">
        <v>218.8</v>
      </c>
      <c r="R3">
        <v>1</v>
      </c>
      <c r="S3">
        <v>44.6483180428135</v>
      </c>
      <c r="T3">
        <f t="shared" ref="T3:T66" si="0">S3/100</f>
        <v>0.44648318042813501</v>
      </c>
      <c r="U3" t="s">
        <v>47</v>
      </c>
      <c r="V3" t="s">
        <v>48</v>
      </c>
    </row>
    <row r="4" spans="1:36" x14ac:dyDescent="0.25">
      <c r="A4">
        <v>3</v>
      </c>
      <c r="B4" t="s">
        <v>36</v>
      </c>
      <c r="C4" s="2">
        <v>45636</v>
      </c>
      <c r="D4" t="s">
        <v>37</v>
      </c>
      <c r="E4" t="s">
        <v>55</v>
      </c>
      <c r="F4" t="s">
        <v>39</v>
      </c>
      <c r="G4">
        <v>1</v>
      </c>
      <c r="H4" t="s">
        <v>56</v>
      </c>
      <c r="I4" t="s">
        <v>57</v>
      </c>
      <c r="J4" t="s">
        <v>42</v>
      </c>
      <c r="K4" t="s">
        <v>58</v>
      </c>
      <c r="L4" t="s">
        <v>59</v>
      </c>
      <c r="M4" t="s">
        <v>45</v>
      </c>
      <c r="N4" t="s">
        <v>46</v>
      </c>
      <c r="O4">
        <v>40</v>
      </c>
      <c r="P4">
        <v>0</v>
      </c>
      <c r="Q4">
        <v>777.7</v>
      </c>
      <c r="R4">
        <v>0</v>
      </c>
      <c r="S4">
        <v>51.913265306122398</v>
      </c>
      <c r="T4">
        <f t="shared" si="0"/>
        <v>0.51913265306122403</v>
      </c>
      <c r="U4" t="s">
        <v>47</v>
      </c>
      <c r="V4" t="s">
        <v>48</v>
      </c>
    </row>
    <row r="5" spans="1:36" x14ac:dyDescent="0.25">
      <c r="A5">
        <v>4</v>
      </c>
      <c r="B5" t="s">
        <v>36</v>
      </c>
      <c r="C5" s="2">
        <v>45636</v>
      </c>
      <c r="D5" t="s">
        <v>37</v>
      </c>
      <c r="E5" t="s">
        <v>60</v>
      </c>
      <c r="F5" t="s">
        <v>39</v>
      </c>
      <c r="G5">
        <v>1</v>
      </c>
      <c r="H5" t="s">
        <v>40</v>
      </c>
      <c r="I5" t="s">
        <v>41</v>
      </c>
      <c r="J5" t="s">
        <v>42</v>
      </c>
      <c r="K5" t="s">
        <v>43</v>
      </c>
      <c r="L5" t="s">
        <v>44</v>
      </c>
      <c r="M5" t="s">
        <v>45</v>
      </c>
      <c r="N5" t="s">
        <v>46</v>
      </c>
      <c r="O5">
        <v>120</v>
      </c>
      <c r="P5">
        <v>70</v>
      </c>
      <c r="Q5">
        <v>696.6</v>
      </c>
      <c r="R5">
        <v>1</v>
      </c>
      <c r="S5">
        <v>39.436619718309899</v>
      </c>
      <c r="T5">
        <f t="shared" si="0"/>
        <v>0.39436619718309901</v>
      </c>
      <c r="U5" t="s">
        <v>47</v>
      </c>
      <c r="V5" t="s">
        <v>48</v>
      </c>
    </row>
    <row r="6" spans="1:36" x14ac:dyDescent="0.25">
      <c r="A6">
        <v>5</v>
      </c>
      <c r="B6" t="s">
        <v>36</v>
      </c>
      <c r="C6" s="2">
        <v>45636</v>
      </c>
      <c r="D6" t="s">
        <v>37</v>
      </c>
      <c r="E6" t="s">
        <v>61</v>
      </c>
      <c r="F6" t="s">
        <v>39</v>
      </c>
      <c r="G6">
        <v>1</v>
      </c>
      <c r="H6" t="s">
        <v>50</v>
      </c>
      <c r="I6" t="s">
        <v>51</v>
      </c>
      <c r="J6" t="s">
        <v>42</v>
      </c>
      <c r="K6" t="s">
        <v>52</v>
      </c>
      <c r="L6" t="s">
        <v>53</v>
      </c>
      <c r="M6" t="s">
        <v>54</v>
      </c>
      <c r="N6" t="s">
        <v>46</v>
      </c>
      <c r="O6">
        <v>120</v>
      </c>
      <c r="P6">
        <v>90</v>
      </c>
      <c r="Q6">
        <v>376.2</v>
      </c>
      <c r="R6">
        <v>1</v>
      </c>
      <c r="S6">
        <v>41.791044776119399</v>
      </c>
      <c r="T6">
        <f t="shared" si="0"/>
        <v>0.41791044776119401</v>
      </c>
      <c r="U6" t="s">
        <v>47</v>
      </c>
      <c r="V6" t="s">
        <v>48</v>
      </c>
    </row>
    <row r="7" spans="1:36" x14ac:dyDescent="0.25">
      <c r="A7">
        <v>6</v>
      </c>
      <c r="B7" t="s">
        <v>36</v>
      </c>
      <c r="C7" s="2">
        <v>45636</v>
      </c>
      <c r="D7" t="s">
        <v>37</v>
      </c>
      <c r="E7" t="s">
        <v>62</v>
      </c>
      <c r="F7" t="s">
        <v>39</v>
      </c>
      <c r="G7">
        <v>1</v>
      </c>
      <c r="H7" t="s">
        <v>56</v>
      </c>
      <c r="I7" t="s">
        <v>57</v>
      </c>
      <c r="J7" t="s">
        <v>42</v>
      </c>
      <c r="K7" t="s">
        <v>58</v>
      </c>
      <c r="L7" t="s">
        <v>59</v>
      </c>
      <c r="M7" t="s">
        <v>45</v>
      </c>
      <c r="N7" t="s">
        <v>46</v>
      </c>
      <c r="O7">
        <v>120</v>
      </c>
      <c r="P7">
        <v>50</v>
      </c>
      <c r="Q7">
        <v>666.8</v>
      </c>
      <c r="R7">
        <v>1</v>
      </c>
      <c r="S7">
        <v>50.311526479750803</v>
      </c>
      <c r="T7">
        <f t="shared" si="0"/>
        <v>0.50311526479750801</v>
      </c>
      <c r="U7" t="s">
        <v>47</v>
      </c>
      <c r="V7" t="s">
        <v>48</v>
      </c>
    </row>
    <row r="8" spans="1:36" x14ac:dyDescent="0.25">
      <c r="A8">
        <v>7</v>
      </c>
      <c r="B8" t="s">
        <v>36</v>
      </c>
      <c r="C8" s="2">
        <v>45636</v>
      </c>
      <c r="D8" t="s">
        <v>37</v>
      </c>
      <c r="E8" t="s">
        <v>63</v>
      </c>
      <c r="F8" t="s">
        <v>39</v>
      </c>
      <c r="G8">
        <v>2</v>
      </c>
      <c r="H8" t="s">
        <v>40</v>
      </c>
      <c r="I8" t="s">
        <v>41</v>
      </c>
      <c r="J8" t="s">
        <v>42</v>
      </c>
      <c r="K8" t="s">
        <v>43</v>
      </c>
      <c r="L8" t="s">
        <v>44</v>
      </c>
      <c r="M8" t="s">
        <v>45</v>
      </c>
      <c r="N8" t="s">
        <v>46</v>
      </c>
      <c r="O8">
        <v>120</v>
      </c>
      <c r="P8">
        <v>80</v>
      </c>
      <c r="Q8">
        <v>437.5</v>
      </c>
      <c r="R8">
        <v>1</v>
      </c>
      <c r="S8">
        <v>38.720538720538698</v>
      </c>
      <c r="T8">
        <f t="shared" si="0"/>
        <v>0.387205387205387</v>
      </c>
      <c r="U8" t="s">
        <v>47</v>
      </c>
      <c r="V8" t="s">
        <v>48</v>
      </c>
    </row>
    <row r="9" spans="1:36" x14ac:dyDescent="0.25">
      <c r="A9">
        <v>8</v>
      </c>
      <c r="B9" t="s">
        <v>36</v>
      </c>
      <c r="C9" s="2">
        <v>45636</v>
      </c>
      <c r="D9" t="s">
        <v>37</v>
      </c>
      <c r="E9" t="s">
        <v>64</v>
      </c>
      <c r="F9" t="s">
        <v>39</v>
      </c>
      <c r="G9">
        <v>2</v>
      </c>
      <c r="H9" t="s">
        <v>50</v>
      </c>
      <c r="I9" t="s">
        <v>51</v>
      </c>
      <c r="J9" t="s">
        <v>42</v>
      </c>
      <c r="K9" t="s">
        <v>52</v>
      </c>
      <c r="L9" t="s">
        <v>53</v>
      </c>
      <c r="M9" t="s">
        <v>54</v>
      </c>
      <c r="N9" t="s">
        <v>46</v>
      </c>
      <c r="O9">
        <v>103</v>
      </c>
      <c r="P9">
        <v>20</v>
      </c>
      <c r="Q9">
        <v>319.2</v>
      </c>
      <c r="R9">
        <v>0</v>
      </c>
      <c r="S9">
        <v>39.506172839506199</v>
      </c>
      <c r="T9">
        <f t="shared" si="0"/>
        <v>0.39506172839506198</v>
      </c>
      <c r="U9" t="s">
        <v>47</v>
      </c>
      <c r="V9" t="s">
        <v>48</v>
      </c>
    </row>
    <row r="10" spans="1:36" x14ac:dyDescent="0.25">
      <c r="A10">
        <v>9</v>
      </c>
      <c r="B10" t="s">
        <v>36</v>
      </c>
      <c r="C10" s="2">
        <v>45636</v>
      </c>
      <c r="D10" t="s">
        <v>37</v>
      </c>
      <c r="E10" t="s">
        <v>65</v>
      </c>
      <c r="F10" t="s">
        <v>39</v>
      </c>
      <c r="G10">
        <v>2</v>
      </c>
      <c r="H10" t="s">
        <v>56</v>
      </c>
      <c r="I10" t="s">
        <v>57</v>
      </c>
      <c r="J10" t="s">
        <v>42</v>
      </c>
      <c r="K10" t="s">
        <v>58</v>
      </c>
      <c r="L10" t="s">
        <v>59</v>
      </c>
      <c r="M10" t="s">
        <v>45</v>
      </c>
      <c r="N10" t="s">
        <v>46</v>
      </c>
      <c r="O10">
        <v>40</v>
      </c>
      <c r="P10">
        <v>5</v>
      </c>
      <c r="Q10">
        <v>678.4</v>
      </c>
      <c r="R10">
        <v>0</v>
      </c>
      <c r="S10">
        <v>46.637608966376099</v>
      </c>
      <c r="T10">
        <f t="shared" si="0"/>
        <v>0.46637608966376098</v>
      </c>
      <c r="U10" t="s">
        <v>47</v>
      </c>
      <c r="V10" t="s">
        <v>48</v>
      </c>
    </row>
    <row r="11" spans="1:36" x14ac:dyDescent="0.25">
      <c r="A11">
        <v>10</v>
      </c>
      <c r="B11" t="s">
        <v>36</v>
      </c>
      <c r="C11" s="2">
        <v>45636</v>
      </c>
      <c r="D11" t="s">
        <v>37</v>
      </c>
      <c r="E11" t="s">
        <v>66</v>
      </c>
      <c r="F11" t="s">
        <v>39</v>
      </c>
      <c r="G11">
        <v>2</v>
      </c>
      <c r="H11" t="s">
        <v>40</v>
      </c>
      <c r="I11" t="s">
        <v>41</v>
      </c>
      <c r="J11" t="s">
        <v>42</v>
      </c>
      <c r="K11" t="s">
        <v>43</v>
      </c>
      <c r="L11" t="s">
        <v>44</v>
      </c>
      <c r="M11" t="s">
        <v>45</v>
      </c>
      <c r="N11" t="s">
        <v>46</v>
      </c>
      <c r="O11">
        <v>52</v>
      </c>
      <c r="P11">
        <v>60</v>
      </c>
      <c r="Q11">
        <v>448.9</v>
      </c>
      <c r="R11">
        <v>0</v>
      </c>
      <c r="S11">
        <v>38.289205702647699</v>
      </c>
      <c r="T11">
        <f t="shared" si="0"/>
        <v>0.382892057026477</v>
      </c>
      <c r="U11" t="s">
        <v>47</v>
      </c>
      <c r="V11" t="s">
        <v>48</v>
      </c>
    </row>
    <row r="12" spans="1:36" x14ac:dyDescent="0.25">
      <c r="A12">
        <v>11</v>
      </c>
      <c r="B12" t="s">
        <v>36</v>
      </c>
      <c r="C12" s="2">
        <v>45636</v>
      </c>
      <c r="D12" t="s">
        <v>37</v>
      </c>
      <c r="E12" t="s">
        <v>67</v>
      </c>
      <c r="F12" t="s">
        <v>39</v>
      </c>
      <c r="G12">
        <v>2</v>
      </c>
      <c r="H12" t="s">
        <v>50</v>
      </c>
      <c r="I12" t="s">
        <v>51</v>
      </c>
      <c r="J12" t="s">
        <v>42</v>
      </c>
      <c r="K12" t="s">
        <v>52</v>
      </c>
      <c r="L12" t="s">
        <v>53</v>
      </c>
      <c r="M12" t="s">
        <v>54</v>
      </c>
      <c r="N12" t="s">
        <v>46</v>
      </c>
      <c r="O12">
        <v>120</v>
      </c>
      <c r="P12">
        <v>60</v>
      </c>
      <c r="Q12">
        <v>325.7</v>
      </c>
      <c r="R12">
        <v>1</v>
      </c>
      <c r="S12">
        <v>36.904761904761898</v>
      </c>
      <c r="T12">
        <f t="shared" si="0"/>
        <v>0.36904761904761896</v>
      </c>
      <c r="U12" t="s">
        <v>47</v>
      </c>
      <c r="V12" t="s">
        <v>48</v>
      </c>
    </row>
    <row r="13" spans="1:36" x14ac:dyDescent="0.25">
      <c r="A13">
        <v>12</v>
      </c>
      <c r="B13" t="s">
        <v>36</v>
      </c>
      <c r="C13" s="2">
        <v>45636</v>
      </c>
      <c r="D13" t="s">
        <v>37</v>
      </c>
      <c r="E13" t="s">
        <v>68</v>
      </c>
      <c r="F13" t="s">
        <v>39</v>
      </c>
      <c r="G13">
        <v>2</v>
      </c>
      <c r="H13" t="s">
        <v>56</v>
      </c>
      <c r="I13" t="s">
        <v>57</v>
      </c>
      <c r="J13" t="s">
        <v>42</v>
      </c>
      <c r="K13" t="s">
        <v>58</v>
      </c>
      <c r="L13" t="s">
        <v>59</v>
      </c>
      <c r="M13" t="s">
        <v>45</v>
      </c>
      <c r="N13" t="s">
        <v>46</v>
      </c>
      <c r="O13">
        <v>7</v>
      </c>
      <c r="P13">
        <v>0</v>
      </c>
      <c r="Q13">
        <v>619</v>
      </c>
      <c r="R13">
        <v>0</v>
      </c>
      <c r="S13">
        <v>45.4370797310279</v>
      </c>
      <c r="T13">
        <f t="shared" si="0"/>
        <v>0.45437079731027902</v>
      </c>
      <c r="U13" t="s">
        <v>47</v>
      </c>
      <c r="V13" t="s">
        <v>48</v>
      </c>
    </row>
    <row r="14" spans="1:36" x14ac:dyDescent="0.25">
      <c r="A14">
        <v>13</v>
      </c>
      <c r="B14" t="s">
        <v>36</v>
      </c>
      <c r="C14" s="2">
        <v>45636</v>
      </c>
      <c r="D14" t="s">
        <v>37</v>
      </c>
      <c r="E14" t="s">
        <v>69</v>
      </c>
      <c r="F14" t="s">
        <v>39</v>
      </c>
      <c r="G14">
        <v>3</v>
      </c>
      <c r="H14" t="s">
        <v>40</v>
      </c>
      <c r="I14" t="s">
        <v>41</v>
      </c>
      <c r="J14" t="s">
        <v>42</v>
      </c>
      <c r="K14" t="s">
        <v>43</v>
      </c>
      <c r="L14" t="s">
        <v>44</v>
      </c>
      <c r="M14" t="s">
        <v>45</v>
      </c>
      <c r="N14" t="s">
        <v>46</v>
      </c>
      <c r="O14">
        <v>25</v>
      </c>
      <c r="P14">
        <v>20</v>
      </c>
      <c r="Q14">
        <v>591.29999999999995</v>
      </c>
      <c r="R14">
        <v>0</v>
      </c>
      <c r="S14">
        <v>41.574585635359099</v>
      </c>
      <c r="T14">
        <f t="shared" si="0"/>
        <v>0.41574585635359101</v>
      </c>
      <c r="U14" t="s">
        <v>47</v>
      </c>
      <c r="V14" t="s">
        <v>48</v>
      </c>
    </row>
    <row r="15" spans="1:36" x14ac:dyDescent="0.25">
      <c r="A15">
        <v>14</v>
      </c>
      <c r="B15" t="s">
        <v>36</v>
      </c>
      <c r="C15" s="2">
        <v>45636</v>
      </c>
      <c r="D15" t="s">
        <v>37</v>
      </c>
      <c r="E15" t="s">
        <v>70</v>
      </c>
      <c r="F15" t="s">
        <v>39</v>
      </c>
      <c r="G15">
        <v>3</v>
      </c>
      <c r="H15" t="s">
        <v>50</v>
      </c>
      <c r="I15" t="s">
        <v>51</v>
      </c>
      <c r="J15" t="s">
        <v>42</v>
      </c>
      <c r="K15" t="s">
        <v>52</v>
      </c>
      <c r="L15" t="s">
        <v>53</v>
      </c>
      <c r="M15" t="s">
        <v>54</v>
      </c>
      <c r="N15" t="s">
        <v>46</v>
      </c>
      <c r="O15">
        <v>120</v>
      </c>
      <c r="P15">
        <v>75</v>
      </c>
      <c r="Q15">
        <v>263.3</v>
      </c>
      <c r="R15">
        <v>1</v>
      </c>
      <c r="S15">
        <v>39.068100358422903</v>
      </c>
      <c r="T15">
        <f t="shared" si="0"/>
        <v>0.39068100358422903</v>
      </c>
      <c r="U15" t="s">
        <v>47</v>
      </c>
      <c r="V15" t="s">
        <v>48</v>
      </c>
    </row>
    <row r="16" spans="1:36" x14ac:dyDescent="0.25">
      <c r="A16">
        <v>15</v>
      </c>
      <c r="B16" t="s">
        <v>36</v>
      </c>
      <c r="C16" s="2">
        <v>45636</v>
      </c>
      <c r="D16" t="s">
        <v>37</v>
      </c>
      <c r="E16" t="s">
        <v>71</v>
      </c>
      <c r="F16" t="s">
        <v>39</v>
      </c>
      <c r="G16">
        <v>3</v>
      </c>
      <c r="H16" t="s">
        <v>56</v>
      </c>
      <c r="I16" t="s">
        <v>57</v>
      </c>
      <c r="J16" t="s">
        <v>42</v>
      </c>
      <c r="K16" t="s">
        <v>58</v>
      </c>
      <c r="L16" t="s">
        <v>59</v>
      </c>
      <c r="M16" t="s">
        <v>45</v>
      </c>
      <c r="N16" t="s">
        <v>46</v>
      </c>
      <c r="O16">
        <v>33</v>
      </c>
      <c r="P16">
        <v>80</v>
      </c>
      <c r="Q16">
        <v>430.7</v>
      </c>
      <c r="R16">
        <v>0</v>
      </c>
      <c r="S16">
        <v>52.237762237762198</v>
      </c>
      <c r="T16">
        <f t="shared" si="0"/>
        <v>0.52237762237762198</v>
      </c>
      <c r="U16" t="s">
        <v>47</v>
      </c>
      <c r="V16" t="s">
        <v>48</v>
      </c>
    </row>
    <row r="17" spans="1:22" x14ac:dyDescent="0.25">
      <c r="A17">
        <v>16</v>
      </c>
      <c r="B17" t="s">
        <v>36</v>
      </c>
      <c r="C17" s="2">
        <v>45636</v>
      </c>
      <c r="D17" t="s">
        <v>37</v>
      </c>
      <c r="E17" t="s">
        <v>72</v>
      </c>
      <c r="F17" t="s">
        <v>39</v>
      </c>
      <c r="G17">
        <v>3</v>
      </c>
      <c r="H17" t="s">
        <v>40</v>
      </c>
      <c r="I17" t="s">
        <v>41</v>
      </c>
      <c r="J17" t="s">
        <v>42</v>
      </c>
      <c r="K17" t="s">
        <v>43</v>
      </c>
      <c r="L17" t="s">
        <v>44</v>
      </c>
      <c r="M17" t="s">
        <v>45</v>
      </c>
      <c r="N17" t="s">
        <v>46</v>
      </c>
      <c r="O17">
        <v>48</v>
      </c>
      <c r="P17">
        <v>60</v>
      </c>
      <c r="Q17">
        <v>445.8</v>
      </c>
      <c r="R17">
        <v>0</v>
      </c>
      <c r="S17">
        <v>40.3825717321998</v>
      </c>
      <c r="T17">
        <f t="shared" si="0"/>
        <v>0.40382571732199801</v>
      </c>
      <c r="U17" t="s">
        <v>47</v>
      </c>
      <c r="V17" t="s">
        <v>48</v>
      </c>
    </row>
    <row r="18" spans="1:22" x14ac:dyDescent="0.25">
      <c r="A18">
        <v>17</v>
      </c>
      <c r="B18" t="s">
        <v>36</v>
      </c>
      <c r="C18" s="2">
        <v>45636</v>
      </c>
      <c r="D18" t="s">
        <v>37</v>
      </c>
      <c r="E18" t="s">
        <v>73</v>
      </c>
      <c r="F18" t="s">
        <v>39</v>
      </c>
      <c r="G18">
        <v>3</v>
      </c>
      <c r="H18" t="s">
        <v>50</v>
      </c>
      <c r="I18" t="s">
        <v>51</v>
      </c>
      <c r="J18" t="s">
        <v>42</v>
      </c>
      <c r="K18" t="s">
        <v>52</v>
      </c>
      <c r="L18" t="s">
        <v>53</v>
      </c>
      <c r="M18" t="s">
        <v>54</v>
      </c>
      <c r="N18" t="s">
        <v>46</v>
      </c>
      <c r="O18">
        <v>88</v>
      </c>
      <c r="P18">
        <v>70</v>
      </c>
      <c r="Q18">
        <v>350.7</v>
      </c>
      <c r="R18">
        <v>0</v>
      </c>
      <c r="S18">
        <v>66.842105263157904</v>
      </c>
      <c r="T18">
        <f t="shared" si="0"/>
        <v>0.66842105263157903</v>
      </c>
      <c r="U18" t="s">
        <v>47</v>
      </c>
      <c r="V18" t="s">
        <v>48</v>
      </c>
    </row>
    <row r="19" spans="1:22" x14ac:dyDescent="0.25">
      <c r="A19">
        <v>18</v>
      </c>
      <c r="B19" t="s">
        <v>36</v>
      </c>
      <c r="C19" s="2">
        <v>45636</v>
      </c>
      <c r="D19" t="s">
        <v>37</v>
      </c>
      <c r="E19" t="s">
        <v>74</v>
      </c>
      <c r="F19" t="s">
        <v>39</v>
      </c>
      <c r="G19">
        <v>3</v>
      </c>
      <c r="H19" t="s">
        <v>56</v>
      </c>
      <c r="I19" t="s">
        <v>57</v>
      </c>
      <c r="J19" t="s">
        <v>42</v>
      </c>
      <c r="K19" t="s">
        <v>58</v>
      </c>
      <c r="L19" t="s">
        <v>59</v>
      </c>
      <c r="M19" t="s">
        <v>45</v>
      </c>
      <c r="N19" t="s">
        <v>46</v>
      </c>
      <c r="O19">
        <v>120</v>
      </c>
      <c r="P19">
        <v>5</v>
      </c>
      <c r="Q19">
        <v>643.20000000000005</v>
      </c>
      <c r="R19">
        <v>1</v>
      </c>
      <c r="S19">
        <v>50.949367088607602</v>
      </c>
      <c r="T19">
        <f t="shared" si="0"/>
        <v>0.509493670886076</v>
      </c>
      <c r="U19" t="s">
        <v>47</v>
      </c>
      <c r="V19" t="s">
        <v>48</v>
      </c>
    </row>
    <row r="20" spans="1:22" x14ac:dyDescent="0.25">
      <c r="A20">
        <v>19</v>
      </c>
      <c r="B20" t="s">
        <v>36</v>
      </c>
      <c r="C20" s="2">
        <v>45636</v>
      </c>
      <c r="D20" t="s">
        <v>37</v>
      </c>
      <c r="E20" t="s">
        <v>75</v>
      </c>
      <c r="F20" t="s">
        <v>76</v>
      </c>
      <c r="G20">
        <v>1</v>
      </c>
      <c r="H20" t="s">
        <v>40</v>
      </c>
      <c r="I20" t="s">
        <v>41</v>
      </c>
      <c r="J20" t="s">
        <v>42</v>
      </c>
      <c r="K20" t="s">
        <v>43</v>
      </c>
      <c r="L20" t="s">
        <v>44</v>
      </c>
      <c r="M20" t="s">
        <v>45</v>
      </c>
      <c r="N20" t="s">
        <v>46</v>
      </c>
      <c r="O20">
        <v>24</v>
      </c>
      <c r="P20">
        <v>35</v>
      </c>
      <c r="Q20">
        <v>583.9</v>
      </c>
      <c r="R20">
        <v>0</v>
      </c>
      <c r="S20">
        <v>35.800807537012098</v>
      </c>
      <c r="T20">
        <f t="shared" si="0"/>
        <v>0.35800807537012097</v>
      </c>
      <c r="U20" t="s">
        <v>47</v>
      </c>
      <c r="V20" t="s">
        <v>48</v>
      </c>
    </row>
    <row r="21" spans="1:22" x14ac:dyDescent="0.25">
      <c r="A21">
        <v>20</v>
      </c>
      <c r="B21" t="s">
        <v>36</v>
      </c>
      <c r="C21" s="2">
        <v>45636</v>
      </c>
      <c r="D21" t="s">
        <v>37</v>
      </c>
      <c r="E21" t="s">
        <v>77</v>
      </c>
      <c r="F21" t="s">
        <v>76</v>
      </c>
      <c r="G21">
        <v>1</v>
      </c>
      <c r="H21" t="s">
        <v>50</v>
      </c>
      <c r="I21" t="s">
        <v>51</v>
      </c>
      <c r="J21" t="s">
        <v>42</v>
      </c>
      <c r="K21" t="s">
        <v>52</v>
      </c>
      <c r="L21" t="s">
        <v>53</v>
      </c>
      <c r="M21" t="s">
        <v>54</v>
      </c>
      <c r="N21" t="s">
        <v>46</v>
      </c>
      <c r="O21">
        <v>120</v>
      </c>
      <c r="P21">
        <v>70</v>
      </c>
      <c r="Q21">
        <v>412.9</v>
      </c>
      <c r="R21">
        <v>1</v>
      </c>
      <c r="S21">
        <v>37.5675675675676</v>
      </c>
      <c r="T21">
        <f t="shared" si="0"/>
        <v>0.375675675675676</v>
      </c>
      <c r="U21" t="s">
        <v>47</v>
      </c>
      <c r="V21" t="s">
        <v>48</v>
      </c>
    </row>
    <row r="22" spans="1:22" x14ac:dyDescent="0.25">
      <c r="A22">
        <v>21</v>
      </c>
      <c r="B22" t="s">
        <v>36</v>
      </c>
      <c r="C22" s="2">
        <v>45636</v>
      </c>
      <c r="D22" t="s">
        <v>37</v>
      </c>
      <c r="E22" t="s">
        <v>78</v>
      </c>
      <c r="F22" t="s">
        <v>76</v>
      </c>
      <c r="G22">
        <v>1</v>
      </c>
      <c r="H22" t="s">
        <v>56</v>
      </c>
      <c r="I22" t="s">
        <v>57</v>
      </c>
      <c r="J22" t="s">
        <v>42</v>
      </c>
      <c r="K22" t="s">
        <v>58</v>
      </c>
      <c r="L22" t="s">
        <v>59</v>
      </c>
      <c r="M22" t="s">
        <v>45</v>
      </c>
      <c r="N22" t="s">
        <v>46</v>
      </c>
      <c r="O22">
        <v>28</v>
      </c>
      <c r="P22">
        <v>5</v>
      </c>
      <c r="Q22">
        <v>695.9</v>
      </c>
      <c r="R22">
        <v>0</v>
      </c>
      <c r="S22">
        <v>47.930702598652601</v>
      </c>
      <c r="T22">
        <f t="shared" si="0"/>
        <v>0.47930702598652603</v>
      </c>
      <c r="U22" t="s">
        <v>47</v>
      </c>
      <c r="V22" t="s">
        <v>48</v>
      </c>
    </row>
    <row r="23" spans="1:22" x14ac:dyDescent="0.25">
      <c r="A23">
        <v>22</v>
      </c>
      <c r="B23" t="s">
        <v>36</v>
      </c>
      <c r="C23" s="2">
        <v>45636</v>
      </c>
      <c r="D23" t="s">
        <v>79</v>
      </c>
      <c r="E23" t="s">
        <v>80</v>
      </c>
      <c r="F23" t="s">
        <v>76</v>
      </c>
      <c r="G23">
        <v>1</v>
      </c>
      <c r="H23" t="s">
        <v>40</v>
      </c>
      <c r="I23" t="s">
        <v>41</v>
      </c>
      <c r="J23" t="s">
        <v>42</v>
      </c>
      <c r="K23" t="s">
        <v>43</v>
      </c>
      <c r="L23" t="s">
        <v>44</v>
      </c>
      <c r="M23" t="s">
        <v>45</v>
      </c>
      <c r="N23" t="s">
        <v>46</v>
      </c>
      <c r="O23">
        <v>11</v>
      </c>
      <c r="P23">
        <v>5</v>
      </c>
      <c r="Q23">
        <v>663.5</v>
      </c>
      <c r="R23">
        <v>0</v>
      </c>
      <c r="S23">
        <v>41.347626339969402</v>
      </c>
      <c r="T23">
        <f t="shared" si="0"/>
        <v>0.41347626339969401</v>
      </c>
      <c r="U23" t="s">
        <v>47</v>
      </c>
      <c r="V23" t="s">
        <v>48</v>
      </c>
    </row>
    <row r="24" spans="1:22" x14ac:dyDescent="0.25">
      <c r="A24">
        <v>23</v>
      </c>
      <c r="B24" t="s">
        <v>36</v>
      </c>
      <c r="C24" s="2">
        <v>45636</v>
      </c>
      <c r="D24" t="s">
        <v>79</v>
      </c>
      <c r="E24" t="s">
        <v>81</v>
      </c>
      <c r="F24" t="s">
        <v>76</v>
      </c>
      <c r="G24">
        <v>1</v>
      </c>
      <c r="H24" t="s">
        <v>50</v>
      </c>
      <c r="I24" t="s">
        <v>51</v>
      </c>
      <c r="J24" t="s">
        <v>42</v>
      </c>
      <c r="K24" t="s">
        <v>52</v>
      </c>
      <c r="L24" t="s">
        <v>53</v>
      </c>
      <c r="M24" t="s">
        <v>54</v>
      </c>
      <c r="N24" t="s">
        <v>46</v>
      </c>
      <c r="O24">
        <v>120</v>
      </c>
      <c r="P24">
        <v>80</v>
      </c>
      <c r="Q24">
        <v>326.60000000000002</v>
      </c>
      <c r="R24">
        <v>1</v>
      </c>
      <c r="S24">
        <v>40.594059405940598</v>
      </c>
      <c r="T24">
        <f t="shared" si="0"/>
        <v>0.40594059405940597</v>
      </c>
      <c r="U24" t="s">
        <v>47</v>
      </c>
      <c r="V24" t="s">
        <v>48</v>
      </c>
    </row>
    <row r="25" spans="1:22" x14ac:dyDescent="0.25">
      <c r="A25">
        <v>24</v>
      </c>
      <c r="B25" t="s">
        <v>36</v>
      </c>
      <c r="C25" s="2">
        <v>45636</v>
      </c>
      <c r="D25" t="s">
        <v>79</v>
      </c>
      <c r="E25" t="s">
        <v>82</v>
      </c>
      <c r="F25" t="s">
        <v>76</v>
      </c>
      <c r="G25">
        <v>1</v>
      </c>
      <c r="H25" t="s">
        <v>56</v>
      </c>
      <c r="I25" t="s">
        <v>57</v>
      </c>
      <c r="J25" t="s">
        <v>42</v>
      </c>
      <c r="K25" t="s">
        <v>58</v>
      </c>
      <c r="L25" t="s">
        <v>59</v>
      </c>
      <c r="M25" t="s">
        <v>45</v>
      </c>
      <c r="N25" t="s">
        <v>46</v>
      </c>
      <c r="O25">
        <v>58</v>
      </c>
      <c r="P25">
        <v>5</v>
      </c>
      <c r="Q25">
        <v>749.5</v>
      </c>
      <c r="R25">
        <v>0</v>
      </c>
      <c r="S25">
        <v>47.373637264618402</v>
      </c>
      <c r="T25">
        <f t="shared" si="0"/>
        <v>0.47373637264618401</v>
      </c>
      <c r="U25" t="s">
        <v>47</v>
      </c>
      <c r="V25" t="s">
        <v>48</v>
      </c>
    </row>
    <row r="26" spans="1:22" x14ac:dyDescent="0.25">
      <c r="A26">
        <v>25</v>
      </c>
      <c r="B26" t="s">
        <v>36</v>
      </c>
      <c r="C26" s="2">
        <v>45636</v>
      </c>
      <c r="D26" t="s">
        <v>37</v>
      </c>
      <c r="E26" t="s">
        <v>83</v>
      </c>
      <c r="F26" t="s">
        <v>76</v>
      </c>
      <c r="G26">
        <v>2</v>
      </c>
      <c r="H26" t="s">
        <v>40</v>
      </c>
      <c r="I26" t="s">
        <v>41</v>
      </c>
      <c r="J26" t="s">
        <v>42</v>
      </c>
      <c r="K26" t="s">
        <v>43</v>
      </c>
      <c r="L26" t="s">
        <v>44</v>
      </c>
      <c r="M26" t="s">
        <v>45</v>
      </c>
      <c r="N26" t="s">
        <v>46</v>
      </c>
      <c r="O26">
        <v>120</v>
      </c>
      <c r="P26">
        <v>5</v>
      </c>
      <c r="Q26">
        <v>609.29999999999995</v>
      </c>
      <c r="R26">
        <v>1</v>
      </c>
      <c r="S26">
        <v>40.657698056801202</v>
      </c>
      <c r="T26">
        <f t="shared" si="0"/>
        <v>0.406576980568012</v>
      </c>
      <c r="U26" t="s">
        <v>47</v>
      </c>
      <c r="V26" t="s">
        <v>48</v>
      </c>
    </row>
    <row r="27" spans="1:22" x14ac:dyDescent="0.25">
      <c r="A27">
        <v>26</v>
      </c>
      <c r="B27" t="s">
        <v>36</v>
      </c>
      <c r="C27" s="2">
        <v>45636</v>
      </c>
      <c r="D27" t="s">
        <v>37</v>
      </c>
      <c r="E27" t="s">
        <v>84</v>
      </c>
      <c r="F27" t="s">
        <v>76</v>
      </c>
      <c r="G27">
        <v>2</v>
      </c>
      <c r="H27" t="s">
        <v>50</v>
      </c>
      <c r="I27" t="s">
        <v>51</v>
      </c>
      <c r="J27" t="s">
        <v>42</v>
      </c>
      <c r="K27" t="s">
        <v>52</v>
      </c>
      <c r="L27" t="s">
        <v>53</v>
      </c>
      <c r="M27" t="s">
        <v>54</v>
      </c>
      <c r="N27" t="s">
        <v>46</v>
      </c>
      <c r="O27">
        <v>120</v>
      </c>
      <c r="P27">
        <v>55</v>
      </c>
      <c r="Q27">
        <v>285.5</v>
      </c>
      <c r="R27">
        <v>1</v>
      </c>
      <c r="S27">
        <v>46.846846846846901</v>
      </c>
      <c r="T27">
        <f t="shared" si="0"/>
        <v>0.46846846846846901</v>
      </c>
      <c r="U27" t="s">
        <v>47</v>
      </c>
      <c r="V27" t="s">
        <v>48</v>
      </c>
    </row>
    <row r="28" spans="1:22" x14ac:dyDescent="0.25">
      <c r="A28">
        <v>27</v>
      </c>
      <c r="B28" t="s">
        <v>36</v>
      </c>
      <c r="C28" s="2">
        <v>45636</v>
      </c>
      <c r="D28" t="s">
        <v>37</v>
      </c>
      <c r="E28" t="s">
        <v>85</v>
      </c>
      <c r="F28" t="s">
        <v>76</v>
      </c>
      <c r="G28">
        <v>2</v>
      </c>
      <c r="H28" t="s">
        <v>56</v>
      </c>
      <c r="I28" t="s">
        <v>57</v>
      </c>
      <c r="J28" t="s">
        <v>42</v>
      </c>
      <c r="K28" t="s">
        <v>58</v>
      </c>
      <c r="L28" t="s">
        <v>59</v>
      </c>
      <c r="M28" t="s">
        <v>45</v>
      </c>
      <c r="N28" t="s">
        <v>46</v>
      </c>
      <c r="O28">
        <v>10</v>
      </c>
      <c r="P28">
        <v>5</v>
      </c>
      <c r="Q28">
        <v>742</v>
      </c>
      <c r="R28">
        <v>0</v>
      </c>
      <c r="S28">
        <v>45.1505016722408</v>
      </c>
      <c r="T28">
        <f t="shared" si="0"/>
        <v>0.451505016722408</v>
      </c>
      <c r="U28" t="s">
        <v>47</v>
      </c>
      <c r="V28" t="s">
        <v>48</v>
      </c>
    </row>
    <row r="29" spans="1:22" x14ac:dyDescent="0.25">
      <c r="A29">
        <v>28</v>
      </c>
      <c r="B29" t="s">
        <v>36</v>
      </c>
      <c r="C29" s="2">
        <v>45636</v>
      </c>
      <c r="D29" t="s">
        <v>79</v>
      </c>
      <c r="E29" t="s">
        <v>86</v>
      </c>
      <c r="F29" t="s">
        <v>76</v>
      </c>
      <c r="G29">
        <v>2</v>
      </c>
      <c r="H29" t="s">
        <v>40</v>
      </c>
      <c r="I29" t="s">
        <v>41</v>
      </c>
      <c r="J29" t="s">
        <v>42</v>
      </c>
      <c r="K29" t="s">
        <v>43</v>
      </c>
      <c r="L29" t="s">
        <v>44</v>
      </c>
      <c r="M29" t="s">
        <v>45</v>
      </c>
      <c r="N29" t="s">
        <v>46</v>
      </c>
      <c r="O29">
        <v>6</v>
      </c>
      <c r="P29">
        <v>90</v>
      </c>
      <c r="Q29">
        <v>699.1</v>
      </c>
      <c r="R29">
        <v>0</v>
      </c>
      <c r="S29">
        <v>41.397849462365599</v>
      </c>
      <c r="T29">
        <f t="shared" si="0"/>
        <v>0.41397849462365599</v>
      </c>
      <c r="U29" t="s">
        <v>47</v>
      </c>
      <c r="V29" t="s">
        <v>48</v>
      </c>
    </row>
    <row r="30" spans="1:22" x14ac:dyDescent="0.25">
      <c r="A30">
        <v>29</v>
      </c>
      <c r="B30" t="s">
        <v>36</v>
      </c>
      <c r="C30" s="2">
        <v>45636</v>
      </c>
      <c r="D30" t="s">
        <v>79</v>
      </c>
      <c r="E30" t="s">
        <v>87</v>
      </c>
      <c r="F30" t="s">
        <v>76</v>
      </c>
      <c r="G30">
        <v>2</v>
      </c>
      <c r="H30" t="s">
        <v>50</v>
      </c>
      <c r="I30" t="s">
        <v>51</v>
      </c>
      <c r="J30" t="s">
        <v>42</v>
      </c>
      <c r="K30" t="s">
        <v>52</v>
      </c>
      <c r="L30" t="s">
        <v>53</v>
      </c>
      <c r="M30" t="s">
        <v>54</v>
      </c>
      <c r="N30" t="s">
        <v>46</v>
      </c>
      <c r="O30">
        <v>120</v>
      </c>
      <c r="P30">
        <v>55</v>
      </c>
      <c r="Q30">
        <v>262.89999999999998</v>
      </c>
      <c r="R30">
        <v>1</v>
      </c>
      <c r="S30">
        <v>39.823008849557503</v>
      </c>
      <c r="T30">
        <f t="shared" si="0"/>
        <v>0.39823008849557501</v>
      </c>
      <c r="U30" t="s">
        <v>47</v>
      </c>
      <c r="V30" t="s">
        <v>48</v>
      </c>
    </row>
    <row r="31" spans="1:22" x14ac:dyDescent="0.25">
      <c r="A31">
        <v>30</v>
      </c>
      <c r="B31" t="s">
        <v>36</v>
      </c>
      <c r="C31" s="2">
        <v>45636</v>
      </c>
      <c r="D31" t="s">
        <v>79</v>
      </c>
      <c r="E31" t="s">
        <v>88</v>
      </c>
      <c r="F31" t="s">
        <v>76</v>
      </c>
      <c r="G31">
        <v>2</v>
      </c>
      <c r="H31" t="s">
        <v>56</v>
      </c>
      <c r="I31" t="s">
        <v>57</v>
      </c>
      <c r="J31" t="s">
        <v>42</v>
      </c>
      <c r="K31" t="s">
        <v>58</v>
      </c>
      <c r="L31" t="s">
        <v>59</v>
      </c>
      <c r="M31" t="s">
        <v>45</v>
      </c>
      <c r="N31" t="s">
        <v>46</v>
      </c>
      <c r="O31">
        <v>8</v>
      </c>
      <c r="P31">
        <v>55</v>
      </c>
      <c r="Q31">
        <v>638.29999999999995</v>
      </c>
      <c r="R31">
        <v>0</v>
      </c>
      <c r="S31">
        <v>48.415374241402603</v>
      </c>
      <c r="T31">
        <f t="shared" si="0"/>
        <v>0.48415374241402603</v>
      </c>
      <c r="U31" t="s">
        <v>47</v>
      </c>
      <c r="V31" t="s">
        <v>48</v>
      </c>
    </row>
    <row r="32" spans="1:22" x14ac:dyDescent="0.25">
      <c r="A32">
        <v>31</v>
      </c>
      <c r="B32" t="s">
        <v>36</v>
      </c>
      <c r="C32" s="2">
        <v>45636</v>
      </c>
      <c r="D32" t="s">
        <v>37</v>
      </c>
      <c r="E32" t="s">
        <v>89</v>
      </c>
      <c r="F32" t="s">
        <v>76</v>
      </c>
      <c r="G32">
        <v>3</v>
      </c>
      <c r="H32" t="s">
        <v>40</v>
      </c>
      <c r="I32" t="s">
        <v>41</v>
      </c>
      <c r="J32" t="s">
        <v>42</v>
      </c>
      <c r="K32" t="s">
        <v>43</v>
      </c>
      <c r="L32" t="s">
        <v>44</v>
      </c>
      <c r="M32" t="s">
        <v>45</v>
      </c>
      <c r="N32" t="s">
        <v>46</v>
      </c>
      <c r="O32">
        <v>10</v>
      </c>
      <c r="P32">
        <v>55</v>
      </c>
      <c r="Q32">
        <v>596</v>
      </c>
      <c r="R32">
        <v>0</v>
      </c>
      <c r="S32">
        <v>42.141230068337101</v>
      </c>
      <c r="T32">
        <f t="shared" si="0"/>
        <v>0.42141230068337099</v>
      </c>
      <c r="U32" t="s">
        <v>47</v>
      </c>
      <c r="V32" t="s">
        <v>48</v>
      </c>
    </row>
    <row r="33" spans="1:22" x14ac:dyDescent="0.25">
      <c r="A33">
        <v>32</v>
      </c>
      <c r="B33" t="s">
        <v>36</v>
      </c>
      <c r="C33" s="2">
        <v>45636</v>
      </c>
      <c r="D33" t="s">
        <v>37</v>
      </c>
      <c r="E33" t="s">
        <v>90</v>
      </c>
      <c r="F33" t="s">
        <v>76</v>
      </c>
      <c r="G33">
        <v>3</v>
      </c>
      <c r="H33" t="s">
        <v>50</v>
      </c>
      <c r="I33" t="s">
        <v>51</v>
      </c>
      <c r="J33" t="s">
        <v>42</v>
      </c>
      <c r="K33" t="s">
        <v>52</v>
      </c>
      <c r="L33" t="s">
        <v>53</v>
      </c>
      <c r="M33" t="s">
        <v>54</v>
      </c>
      <c r="N33" t="s">
        <v>46</v>
      </c>
      <c r="O33">
        <v>120</v>
      </c>
      <c r="P33">
        <v>70</v>
      </c>
      <c r="Q33">
        <v>338.2</v>
      </c>
      <c r="R33">
        <v>1</v>
      </c>
      <c r="S33">
        <v>36.956521739130402</v>
      </c>
      <c r="T33">
        <f t="shared" si="0"/>
        <v>0.36956521739130399</v>
      </c>
      <c r="U33" t="s">
        <v>47</v>
      </c>
      <c r="V33" t="s">
        <v>48</v>
      </c>
    </row>
    <row r="34" spans="1:22" x14ac:dyDescent="0.25">
      <c r="A34">
        <v>33</v>
      </c>
      <c r="B34" t="s">
        <v>36</v>
      </c>
      <c r="C34" s="2">
        <v>45636</v>
      </c>
      <c r="D34" t="s">
        <v>37</v>
      </c>
      <c r="E34" t="s">
        <v>91</v>
      </c>
      <c r="F34" t="s">
        <v>76</v>
      </c>
      <c r="G34">
        <v>3</v>
      </c>
      <c r="H34" t="s">
        <v>56</v>
      </c>
      <c r="I34" t="s">
        <v>57</v>
      </c>
      <c r="J34" t="s">
        <v>42</v>
      </c>
      <c r="K34" t="s">
        <v>58</v>
      </c>
      <c r="L34" t="s">
        <v>59</v>
      </c>
      <c r="M34" t="s">
        <v>45</v>
      </c>
      <c r="N34" t="s">
        <v>46</v>
      </c>
      <c r="O34">
        <v>76</v>
      </c>
      <c r="P34">
        <v>5</v>
      </c>
      <c r="Q34">
        <v>678.9</v>
      </c>
      <c r="R34">
        <v>0</v>
      </c>
      <c r="S34">
        <v>47.136340598074</v>
      </c>
      <c r="T34">
        <f t="shared" si="0"/>
        <v>0.47136340598074</v>
      </c>
      <c r="U34" t="s">
        <v>47</v>
      </c>
      <c r="V34" t="s">
        <v>48</v>
      </c>
    </row>
    <row r="35" spans="1:22" x14ac:dyDescent="0.25">
      <c r="A35">
        <v>34</v>
      </c>
      <c r="B35" t="s">
        <v>36</v>
      </c>
      <c r="C35" s="2">
        <v>45636</v>
      </c>
      <c r="D35" t="s">
        <v>79</v>
      </c>
      <c r="E35" t="s">
        <v>92</v>
      </c>
      <c r="F35" t="s">
        <v>76</v>
      </c>
      <c r="G35">
        <v>3</v>
      </c>
      <c r="H35" t="s">
        <v>40</v>
      </c>
      <c r="I35" t="s">
        <v>41</v>
      </c>
      <c r="J35" t="s">
        <v>42</v>
      </c>
      <c r="K35" t="s">
        <v>43</v>
      </c>
      <c r="L35" t="s">
        <v>44</v>
      </c>
      <c r="M35" t="s">
        <v>45</v>
      </c>
      <c r="N35" t="s">
        <v>46</v>
      </c>
      <c r="O35">
        <v>36</v>
      </c>
      <c r="P35">
        <v>85</v>
      </c>
      <c r="Q35">
        <v>381.5</v>
      </c>
      <c r="R35">
        <v>0</v>
      </c>
      <c r="S35">
        <v>39.373163565132202</v>
      </c>
      <c r="T35">
        <f t="shared" si="0"/>
        <v>0.39373163565132202</v>
      </c>
      <c r="U35" t="s">
        <v>47</v>
      </c>
      <c r="V35" t="s">
        <v>48</v>
      </c>
    </row>
    <row r="36" spans="1:22" x14ac:dyDescent="0.25">
      <c r="A36">
        <v>35</v>
      </c>
      <c r="B36" t="s">
        <v>36</v>
      </c>
      <c r="C36" s="2">
        <v>45636</v>
      </c>
      <c r="D36" t="s">
        <v>79</v>
      </c>
      <c r="E36" t="s">
        <v>93</v>
      </c>
      <c r="F36" t="s">
        <v>76</v>
      </c>
      <c r="G36">
        <v>3</v>
      </c>
      <c r="H36" t="s">
        <v>50</v>
      </c>
      <c r="I36" t="s">
        <v>51</v>
      </c>
      <c r="J36" t="s">
        <v>42</v>
      </c>
      <c r="K36" t="s">
        <v>52</v>
      </c>
      <c r="L36" t="s">
        <v>53</v>
      </c>
      <c r="M36" t="s">
        <v>54</v>
      </c>
      <c r="N36" t="s">
        <v>46</v>
      </c>
      <c r="O36">
        <v>5</v>
      </c>
      <c r="P36">
        <v>15</v>
      </c>
      <c r="Q36">
        <v>537.29999999999995</v>
      </c>
      <c r="R36">
        <v>0</v>
      </c>
      <c r="S36">
        <v>51.677852348993298</v>
      </c>
      <c r="T36">
        <f t="shared" si="0"/>
        <v>0.51677852348993303</v>
      </c>
      <c r="U36" t="s">
        <v>47</v>
      </c>
      <c r="V36" t="s">
        <v>48</v>
      </c>
    </row>
    <row r="37" spans="1:22" x14ac:dyDescent="0.25">
      <c r="A37">
        <v>36</v>
      </c>
      <c r="B37" t="s">
        <v>36</v>
      </c>
      <c r="C37" s="2">
        <v>45636</v>
      </c>
      <c r="D37" t="s">
        <v>79</v>
      </c>
      <c r="E37" t="s">
        <v>94</v>
      </c>
      <c r="F37" t="s">
        <v>76</v>
      </c>
      <c r="G37">
        <v>3</v>
      </c>
      <c r="H37" t="s">
        <v>56</v>
      </c>
      <c r="I37" t="s">
        <v>57</v>
      </c>
      <c r="J37" t="s">
        <v>42</v>
      </c>
      <c r="K37" t="s">
        <v>58</v>
      </c>
      <c r="L37" t="s">
        <v>59</v>
      </c>
      <c r="M37" t="s">
        <v>45</v>
      </c>
      <c r="N37" t="s">
        <v>46</v>
      </c>
      <c r="O37">
        <v>21</v>
      </c>
      <c r="P37">
        <v>10</v>
      </c>
      <c r="Q37">
        <v>665.3</v>
      </c>
      <c r="R37">
        <v>0</v>
      </c>
      <c r="S37">
        <v>48.805681084570701</v>
      </c>
      <c r="T37">
        <f t="shared" si="0"/>
        <v>0.48805681084570701</v>
      </c>
      <c r="U37" t="s">
        <v>47</v>
      </c>
      <c r="V37" t="s">
        <v>48</v>
      </c>
    </row>
    <row r="38" spans="1:22" x14ac:dyDescent="0.25">
      <c r="A38">
        <v>37</v>
      </c>
      <c r="B38" t="s">
        <v>36</v>
      </c>
      <c r="C38" s="2">
        <v>45636</v>
      </c>
      <c r="D38" t="s">
        <v>79</v>
      </c>
      <c r="E38" t="s">
        <v>95</v>
      </c>
      <c r="F38" t="s">
        <v>96</v>
      </c>
      <c r="G38">
        <v>1</v>
      </c>
      <c r="H38" t="s">
        <v>97</v>
      </c>
      <c r="I38" t="s">
        <v>98</v>
      </c>
      <c r="J38" t="s">
        <v>42</v>
      </c>
      <c r="K38" t="s">
        <v>99</v>
      </c>
      <c r="L38" t="s">
        <v>100</v>
      </c>
      <c r="M38" t="s">
        <v>101</v>
      </c>
      <c r="N38" t="s">
        <v>46</v>
      </c>
      <c r="O38">
        <v>25</v>
      </c>
      <c r="P38">
        <v>30</v>
      </c>
      <c r="Q38">
        <v>515.9</v>
      </c>
      <c r="R38">
        <v>0</v>
      </c>
      <c r="S38">
        <v>48.7479131886478</v>
      </c>
      <c r="T38">
        <f t="shared" si="0"/>
        <v>0.48747913188647801</v>
      </c>
      <c r="U38" t="s">
        <v>47</v>
      </c>
      <c r="V38" t="s">
        <v>48</v>
      </c>
    </row>
    <row r="39" spans="1:22" x14ac:dyDescent="0.25">
      <c r="A39">
        <v>38</v>
      </c>
      <c r="B39" t="s">
        <v>36</v>
      </c>
      <c r="C39" s="2">
        <v>45636</v>
      </c>
      <c r="D39" t="s">
        <v>79</v>
      </c>
      <c r="E39" t="s">
        <v>102</v>
      </c>
      <c r="F39" t="s">
        <v>96</v>
      </c>
      <c r="G39">
        <v>2</v>
      </c>
      <c r="H39" t="s">
        <v>97</v>
      </c>
      <c r="I39" t="s">
        <v>98</v>
      </c>
      <c r="J39" t="s">
        <v>42</v>
      </c>
      <c r="K39" t="s">
        <v>99</v>
      </c>
      <c r="L39" t="s">
        <v>100</v>
      </c>
      <c r="M39" t="s">
        <v>101</v>
      </c>
      <c r="N39" t="s">
        <v>46</v>
      </c>
      <c r="O39">
        <v>120</v>
      </c>
      <c r="P39">
        <v>85</v>
      </c>
      <c r="Q39">
        <v>379</v>
      </c>
      <c r="R39">
        <v>1</v>
      </c>
      <c r="S39">
        <v>53.912363067292702</v>
      </c>
      <c r="T39">
        <f t="shared" si="0"/>
        <v>0.53912363067292701</v>
      </c>
      <c r="U39" t="s">
        <v>47</v>
      </c>
      <c r="V39" t="s">
        <v>48</v>
      </c>
    </row>
    <row r="40" spans="1:22" x14ac:dyDescent="0.25">
      <c r="A40">
        <v>39</v>
      </c>
      <c r="B40" t="s">
        <v>36</v>
      </c>
      <c r="C40" s="2">
        <v>45636</v>
      </c>
      <c r="D40" t="s">
        <v>79</v>
      </c>
      <c r="E40" t="s">
        <v>103</v>
      </c>
      <c r="F40" t="s">
        <v>96</v>
      </c>
      <c r="G40">
        <v>3</v>
      </c>
      <c r="H40" t="s">
        <v>97</v>
      </c>
      <c r="I40" t="s">
        <v>98</v>
      </c>
      <c r="J40" t="s">
        <v>42</v>
      </c>
      <c r="K40" t="s">
        <v>99</v>
      </c>
      <c r="L40" t="s">
        <v>100</v>
      </c>
      <c r="M40" t="s">
        <v>101</v>
      </c>
      <c r="N40" t="s">
        <v>46</v>
      </c>
      <c r="O40">
        <v>31</v>
      </c>
      <c r="P40">
        <v>30</v>
      </c>
      <c r="Q40">
        <v>634.4</v>
      </c>
      <c r="R40">
        <v>0</v>
      </c>
      <c r="S40">
        <v>55.582642613359297</v>
      </c>
      <c r="T40">
        <f t="shared" si="0"/>
        <v>0.55582642613359301</v>
      </c>
      <c r="U40" t="s">
        <v>47</v>
      </c>
      <c r="V40" t="s">
        <v>48</v>
      </c>
    </row>
    <row r="41" spans="1:22" x14ac:dyDescent="0.25">
      <c r="A41">
        <v>40</v>
      </c>
      <c r="B41" t="s">
        <v>36</v>
      </c>
      <c r="C41" s="2">
        <v>45636</v>
      </c>
      <c r="D41" t="s">
        <v>79</v>
      </c>
      <c r="E41" t="s">
        <v>104</v>
      </c>
      <c r="F41" t="s">
        <v>96</v>
      </c>
      <c r="G41">
        <v>4</v>
      </c>
      <c r="H41" t="s">
        <v>97</v>
      </c>
      <c r="I41" t="s">
        <v>98</v>
      </c>
      <c r="J41" t="s">
        <v>42</v>
      </c>
      <c r="K41" t="s">
        <v>99</v>
      </c>
      <c r="L41" t="s">
        <v>100</v>
      </c>
      <c r="M41" t="s">
        <v>101</v>
      </c>
      <c r="N41" t="s">
        <v>46</v>
      </c>
      <c r="O41">
        <v>15</v>
      </c>
      <c r="P41">
        <v>40</v>
      </c>
      <c r="Q41">
        <v>567.29999999999995</v>
      </c>
      <c r="R41">
        <v>0</v>
      </c>
      <c r="S41">
        <v>56.134686346863496</v>
      </c>
      <c r="T41">
        <f t="shared" si="0"/>
        <v>0.56134686346863494</v>
      </c>
      <c r="U41" t="s">
        <v>47</v>
      </c>
      <c r="V41" t="s">
        <v>48</v>
      </c>
    </row>
    <row r="42" spans="1:22" x14ac:dyDescent="0.25">
      <c r="A42">
        <v>41</v>
      </c>
      <c r="B42" t="s">
        <v>36</v>
      </c>
      <c r="C42" s="2">
        <v>45636</v>
      </c>
      <c r="D42" t="s">
        <v>79</v>
      </c>
      <c r="E42" t="s">
        <v>105</v>
      </c>
      <c r="F42" t="s">
        <v>96</v>
      </c>
      <c r="G42">
        <v>5</v>
      </c>
      <c r="H42" t="s">
        <v>97</v>
      </c>
      <c r="I42" t="s">
        <v>98</v>
      </c>
      <c r="J42" t="s">
        <v>42</v>
      </c>
      <c r="K42" t="s">
        <v>99</v>
      </c>
      <c r="L42" t="s">
        <v>100</v>
      </c>
      <c r="M42" t="s">
        <v>101</v>
      </c>
      <c r="N42" t="s">
        <v>46</v>
      </c>
      <c r="O42">
        <v>28</v>
      </c>
      <c r="P42">
        <v>50</v>
      </c>
      <c r="Q42">
        <v>567.6</v>
      </c>
      <c r="R42">
        <v>0</v>
      </c>
      <c r="S42">
        <v>56.262042389210002</v>
      </c>
      <c r="T42">
        <f t="shared" si="0"/>
        <v>0.56262042389209999</v>
      </c>
      <c r="U42" t="s">
        <v>47</v>
      </c>
      <c r="V42" t="s">
        <v>48</v>
      </c>
    </row>
    <row r="43" spans="1:22" x14ac:dyDescent="0.25">
      <c r="A43">
        <v>42</v>
      </c>
      <c r="B43" t="s">
        <v>36</v>
      </c>
      <c r="C43" s="2">
        <v>45637</v>
      </c>
      <c r="D43" t="s">
        <v>37</v>
      </c>
      <c r="E43" t="s">
        <v>106</v>
      </c>
      <c r="F43" t="s">
        <v>39</v>
      </c>
      <c r="G43">
        <v>1</v>
      </c>
      <c r="H43" t="s">
        <v>107</v>
      </c>
      <c r="I43" t="s">
        <v>108</v>
      </c>
      <c r="J43" t="s">
        <v>109</v>
      </c>
      <c r="K43" t="s">
        <v>110</v>
      </c>
      <c r="L43" t="s">
        <v>111</v>
      </c>
      <c r="M43" t="s">
        <v>45</v>
      </c>
      <c r="N43" t="s">
        <v>46</v>
      </c>
      <c r="O43">
        <v>120</v>
      </c>
      <c r="P43">
        <v>10</v>
      </c>
      <c r="Q43">
        <v>490.4</v>
      </c>
      <c r="R43">
        <v>1</v>
      </c>
      <c r="S43">
        <v>44.312393887945703</v>
      </c>
      <c r="T43">
        <f t="shared" si="0"/>
        <v>0.443123938879457</v>
      </c>
      <c r="U43" t="s">
        <v>47</v>
      </c>
      <c r="V43" t="s">
        <v>48</v>
      </c>
    </row>
    <row r="44" spans="1:22" x14ac:dyDescent="0.25">
      <c r="A44">
        <v>43</v>
      </c>
      <c r="B44" t="s">
        <v>36</v>
      </c>
      <c r="C44" s="2">
        <v>45637</v>
      </c>
      <c r="D44" t="s">
        <v>37</v>
      </c>
      <c r="E44" t="s">
        <v>112</v>
      </c>
      <c r="F44" t="s">
        <v>76</v>
      </c>
      <c r="G44">
        <v>1</v>
      </c>
      <c r="H44" t="s">
        <v>113</v>
      </c>
      <c r="I44" t="s">
        <v>114</v>
      </c>
      <c r="J44" t="s">
        <v>42</v>
      </c>
      <c r="K44" t="s">
        <v>115</v>
      </c>
      <c r="L44" t="s">
        <v>116</v>
      </c>
      <c r="M44" t="s">
        <v>54</v>
      </c>
      <c r="N44" t="s">
        <v>46</v>
      </c>
      <c r="O44">
        <v>20</v>
      </c>
      <c r="P44">
        <v>90</v>
      </c>
      <c r="Q44">
        <v>300</v>
      </c>
      <c r="R44">
        <v>0</v>
      </c>
      <c r="S44">
        <v>55.163398692810503</v>
      </c>
      <c r="T44">
        <f t="shared" si="0"/>
        <v>0.55163398692810506</v>
      </c>
      <c r="U44" t="s">
        <v>47</v>
      </c>
      <c r="V44" t="s">
        <v>48</v>
      </c>
    </row>
    <row r="45" spans="1:22" x14ac:dyDescent="0.25">
      <c r="A45">
        <v>44</v>
      </c>
      <c r="B45" t="s">
        <v>36</v>
      </c>
      <c r="C45" s="2">
        <v>45637</v>
      </c>
      <c r="D45" t="s">
        <v>37</v>
      </c>
      <c r="E45" t="s">
        <v>77</v>
      </c>
      <c r="F45" t="s">
        <v>76</v>
      </c>
      <c r="G45">
        <v>1</v>
      </c>
      <c r="H45" t="s">
        <v>117</v>
      </c>
      <c r="I45" t="s">
        <v>118</v>
      </c>
      <c r="J45" t="s">
        <v>42</v>
      </c>
      <c r="K45" t="s">
        <v>119</v>
      </c>
      <c r="L45" t="s">
        <v>120</v>
      </c>
      <c r="M45" t="s">
        <v>45</v>
      </c>
      <c r="N45" t="s">
        <v>46</v>
      </c>
      <c r="O45">
        <v>80</v>
      </c>
      <c r="P45">
        <v>95</v>
      </c>
      <c r="Q45">
        <v>257.60000000000002</v>
      </c>
      <c r="R45">
        <v>0</v>
      </c>
      <c r="S45">
        <v>52.0574162679426</v>
      </c>
      <c r="T45">
        <f t="shared" si="0"/>
        <v>0.52057416267942602</v>
      </c>
      <c r="U45" t="s">
        <v>47</v>
      </c>
      <c r="V45" t="s">
        <v>48</v>
      </c>
    </row>
    <row r="46" spans="1:22" x14ac:dyDescent="0.25">
      <c r="A46">
        <v>45</v>
      </c>
      <c r="B46" t="s">
        <v>36</v>
      </c>
      <c r="C46" s="2">
        <v>45637</v>
      </c>
      <c r="D46" t="s">
        <v>37</v>
      </c>
      <c r="E46" t="s">
        <v>121</v>
      </c>
      <c r="F46" t="s">
        <v>76</v>
      </c>
      <c r="G46">
        <v>1</v>
      </c>
      <c r="H46" t="s">
        <v>122</v>
      </c>
      <c r="I46" t="s">
        <v>123</v>
      </c>
      <c r="J46" t="s">
        <v>109</v>
      </c>
      <c r="K46" t="s">
        <v>124</v>
      </c>
      <c r="L46" t="s">
        <v>111</v>
      </c>
      <c r="M46" t="s">
        <v>45</v>
      </c>
      <c r="N46" t="s">
        <v>46</v>
      </c>
      <c r="O46">
        <v>11</v>
      </c>
      <c r="P46">
        <v>35</v>
      </c>
      <c r="Q46">
        <v>574.6</v>
      </c>
      <c r="R46">
        <v>0</v>
      </c>
      <c r="S46">
        <v>31.078610603290699</v>
      </c>
      <c r="T46">
        <f t="shared" si="0"/>
        <v>0.31078610603290696</v>
      </c>
      <c r="U46" t="s">
        <v>47</v>
      </c>
      <c r="V46" t="s">
        <v>48</v>
      </c>
    </row>
    <row r="47" spans="1:22" x14ac:dyDescent="0.25">
      <c r="A47">
        <v>46</v>
      </c>
      <c r="B47" t="s">
        <v>36</v>
      </c>
      <c r="C47" s="2">
        <v>45637</v>
      </c>
      <c r="D47" t="s">
        <v>37</v>
      </c>
      <c r="E47" t="s">
        <v>125</v>
      </c>
      <c r="F47" t="s">
        <v>76</v>
      </c>
      <c r="G47">
        <v>1</v>
      </c>
      <c r="H47" t="s">
        <v>126</v>
      </c>
      <c r="I47" t="s">
        <v>127</v>
      </c>
      <c r="J47" t="s">
        <v>42</v>
      </c>
      <c r="K47" t="s">
        <v>128</v>
      </c>
      <c r="L47" t="s">
        <v>129</v>
      </c>
      <c r="M47" t="s">
        <v>45</v>
      </c>
      <c r="N47" t="s">
        <v>46</v>
      </c>
      <c r="O47">
        <v>28</v>
      </c>
      <c r="P47">
        <v>25</v>
      </c>
      <c r="Q47">
        <v>692.5</v>
      </c>
      <c r="R47">
        <v>0</v>
      </c>
      <c r="S47">
        <v>47.989276139410201</v>
      </c>
      <c r="T47">
        <f t="shared" si="0"/>
        <v>0.47989276139410203</v>
      </c>
      <c r="U47" t="s">
        <v>47</v>
      </c>
      <c r="V47" t="s">
        <v>48</v>
      </c>
    </row>
    <row r="48" spans="1:22" x14ac:dyDescent="0.25">
      <c r="A48">
        <v>47</v>
      </c>
      <c r="B48" t="s">
        <v>36</v>
      </c>
      <c r="C48" s="2">
        <v>45637</v>
      </c>
      <c r="D48" t="s">
        <v>37</v>
      </c>
      <c r="E48" t="s">
        <v>130</v>
      </c>
      <c r="F48" t="s">
        <v>76</v>
      </c>
      <c r="G48">
        <v>1</v>
      </c>
      <c r="H48" t="s">
        <v>131</v>
      </c>
      <c r="I48" t="s">
        <v>132</v>
      </c>
      <c r="J48" t="s">
        <v>42</v>
      </c>
      <c r="K48" t="s">
        <v>133</v>
      </c>
      <c r="L48" t="s">
        <v>59</v>
      </c>
      <c r="M48" t="s">
        <v>101</v>
      </c>
      <c r="N48" t="s">
        <v>46</v>
      </c>
      <c r="O48">
        <v>75</v>
      </c>
      <c r="P48">
        <v>15</v>
      </c>
      <c r="Q48">
        <v>652.4</v>
      </c>
      <c r="R48">
        <v>0</v>
      </c>
      <c r="S48">
        <v>59.252772913018099</v>
      </c>
      <c r="T48">
        <f t="shared" si="0"/>
        <v>0.59252772913018104</v>
      </c>
      <c r="U48" t="s">
        <v>47</v>
      </c>
      <c r="V48" t="s">
        <v>48</v>
      </c>
    </row>
    <row r="49" spans="1:22" x14ac:dyDescent="0.25">
      <c r="A49">
        <v>48</v>
      </c>
      <c r="B49" t="s">
        <v>36</v>
      </c>
      <c r="C49" s="2">
        <v>45637</v>
      </c>
      <c r="D49" t="s">
        <v>37</v>
      </c>
      <c r="E49" t="s">
        <v>134</v>
      </c>
      <c r="F49" t="s">
        <v>76</v>
      </c>
      <c r="G49">
        <v>2</v>
      </c>
      <c r="H49" t="s">
        <v>107</v>
      </c>
      <c r="I49" t="s">
        <v>108</v>
      </c>
      <c r="J49" t="s">
        <v>109</v>
      </c>
      <c r="K49" t="s">
        <v>110</v>
      </c>
      <c r="L49" t="s">
        <v>111</v>
      </c>
      <c r="M49" t="s">
        <v>45</v>
      </c>
      <c r="N49" t="s">
        <v>46</v>
      </c>
      <c r="O49">
        <v>4</v>
      </c>
      <c r="P49">
        <v>45</v>
      </c>
      <c r="Q49">
        <v>500.3</v>
      </c>
      <c r="R49">
        <v>0</v>
      </c>
      <c r="S49">
        <v>42.8819444444444</v>
      </c>
      <c r="T49">
        <f t="shared" si="0"/>
        <v>0.42881944444444398</v>
      </c>
      <c r="U49" t="s">
        <v>47</v>
      </c>
      <c r="V49" t="s">
        <v>48</v>
      </c>
    </row>
    <row r="50" spans="1:22" x14ac:dyDescent="0.25">
      <c r="A50">
        <v>49</v>
      </c>
      <c r="B50" t="s">
        <v>36</v>
      </c>
      <c r="C50" s="2">
        <v>45637</v>
      </c>
      <c r="D50" t="s">
        <v>37</v>
      </c>
      <c r="E50" t="s">
        <v>135</v>
      </c>
      <c r="F50" t="s">
        <v>76</v>
      </c>
      <c r="G50">
        <v>2</v>
      </c>
      <c r="H50" t="s">
        <v>113</v>
      </c>
      <c r="I50" t="s">
        <v>114</v>
      </c>
      <c r="J50" t="s">
        <v>42</v>
      </c>
      <c r="K50" t="s">
        <v>115</v>
      </c>
      <c r="L50" t="s">
        <v>116</v>
      </c>
      <c r="M50" t="s">
        <v>54</v>
      </c>
      <c r="N50" t="s">
        <v>46</v>
      </c>
      <c r="O50">
        <v>40</v>
      </c>
      <c r="P50">
        <v>65</v>
      </c>
      <c r="Q50">
        <v>495.9</v>
      </c>
      <c r="R50">
        <v>0</v>
      </c>
      <c r="S50">
        <v>61.851851851851798</v>
      </c>
      <c r="T50">
        <f t="shared" si="0"/>
        <v>0.61851851851851802</v>
      </c>
      <c r="U50" t="s">
        <v>47</v>
      </c>
      <c r="V50" t="s">
        <v>48</v>
      </c>
    </row>
    <row r="51" spans="1:22" x14ac:dyDescent="0.25">
      <c r="A51">
        <v>50</v>
      </c>
      <c r="B51" t="s">
        <v>36</v>
      </c>
      <c r="C51" s="2">
        <v>45637</v>
      </c>
      <c r="D51" t="s">
        <v>37</v>
      </c>
      <c r="E51" t="s">
        <v>136</v>
      </c>
      <c r="F51" t="s">
        <v>76</v>
      </c>
      <c r="G51">
        <v>2</v>
      </c>
      <c r="H51" t="s">
        <v>117</v>
      </c>
      <c r="I51" t="s">
        <v>118</v>
      </c>
      <c r="J51" t="s">
        <v>42</v>
      </c>
      <c r="K51" t="s">
        <v>119</v>
      </c>
      <c r="L51" t="s">
        <v>120</v>
      </c>
      <c r="M51" t="s">
        <v>45</v>
      </c>
      <c r="N51" t="s">
        <v>46</v>
      </c>
      <c r="O51">
        <v>120</v>
      </c>
      <c r="P51">
        <v>90</v>
      </c>
      <c r="Q51">
        <v>377.6</v>
      </c>
      <c r="R51">
        <v>1</v>
      </c>
      <c r="S51">
        <v>58.399098083427297</v>
      </c>
      <c r="T51">
        <f t="shared" si="0"/>
        <v>0.58399098083427292</v>
      </c>
      <c r="U51" t="s">
        <v>47</v>
      </c>
      <c r="V51" t="s">
        <v>48</v>
      </c>
    </row>
    <row r="52" spans="1:22" x14ac:dyDescent="0.25">
      <c r="A52">
        <v>51</v>
      </c>
      <c r="B52" t="s">
        <v>36</v>
      </c>
      <c r="C52" s="2">
        <v>45637</v>
      </c>
      <c r="D52" t="s">
        <v>37</v>
      </c>
      <c r="E52" t="s">
        <v>137</v>
      </c>
      <c r="F52" t="s">
        <v>76</v>
      </c>
      <c r="G52">
        <v>2</v>
      </c>
      <c r="H52" t="s">
        <v>122</v>
      </c>
      <c r="I52" t="s">
        <v>123</v>
      </c>
      <c r="J52" t="s">
        <v>109</v>
      </c>
      <c r="K52" t="s">
        <v>124</v>
      </c>
      <c r="L52" t="s">
        <v>111</v>
      </c>
      <c r="M52" t="s">
        <v>45</v>
      </c>
      <c r="N52" t="s">
        <v>46</v>
      </c>
      <c r="O52">
        <v>5</v>
      </c>
      <c r="P52">
        <v>35</v>
      </c>
      <c r="Q52">
        <v>539.29999999999995</v>
      </c>
      <c r="R52">
        <v>0</v>
      </c>
      <c r="S52">
        <v>31.556039173014099</v>
      </c>
      <c r="T52">
        <f t="shared" si="0"/>
        <v>0.315560391730141</v>
      </c>
      <c r="U52" t="s">
        <v>47</v>
      </c>
      <c r="V52" t="s">
        <v>48</v>
      </c>
    </row>
    <row r="53" spans="1:22" x14ac:dyDescent="0.25">
      <c r="A53">
        <v>52</v>
      </c>
      <c r="B53" t="s">
        <v>36</v>
      </c>
      <c r="C53" s="2">
        <v>45637</v>
      </c>
      <c r="D53" t="s">
        <v>37</v>
      </c>
      <c r="E53" t="s">
        <v>138</v>
      </c>
      <c r="F53" t="s">
        <v>76</v>
      </c>
      <c r="G53">
        <v>2</v>
      </c>
      <c r="H53" t="s">
        <v>126</v>
      </c>
      <c r="I53" t="s">
        <v>127</v>
      </c>
      <c r="J53" t="s">
        <v>42</v>
      </c>
      <c r="K53" t="s">
        <v>128</v>
      </c>
      <c r="L53" t="s">
        <v>129</v>
      </c>
      <c r="M53" t="s">
        <v>45</v>
      </c>
      <c r="N53" t="s">
        <v>46</v>
      </c>
      <c r="O53">
        <v>56</v>
      </c>
      <c r="P53">
        <v>30</v>
      </c>
      <c r="Q53">
        <v>544.9</v>
      </c>
      <c r="R53">
        <v>0</v>
      </c>
      <c r="S53">
        <v>44.028776978417298</v>
      </c>
      <c r="T53">
        <f t="shared" si="0"/>
        <v>0.440287769784173</v>
      </c>
      <c r="U53" t="s">
        <v>47</v>
      </c>
      <c r="V53" t="s">
        <v>48</v>
      </c>
    </row>
    <row r="54" spans="1:22" x14ac:dyDescent="0.25">
      <c r="A54">
        <v>53</v>
      </c>
      <c r="B54" t="s">
        <v>36</v>
      </c>
      <c r="C54" s="2">
        <v>45637</v>
      </c>
      <c r="D54" t="s">
        <v>37</v>
      </c>
      <c r="E54" t="s">
        <v>86</v>
      </c>
      <c r="F54" t="s">
        <v>76</v>
      </c>
      <c r="G54">
        <v>2</v>
      </c>
      <c r="H54" t="s">
        <v>131</v>
      </c>
      <c r="I54" t="s">
        <v>132</v>
      </c>
      <c r="J54" t="s">
        <v>42</v>
      </c>
      <c r="K54" t="s">
        <v>133</v>
      </c>
      <c r="L54" t="s">
        <v>59</v>
      </c>
      <c r="M54" t="s">
        <v>101</v>
      </c>
      <c r="N54" t="s">
        <v>46</v>
      </c>
      <c r="O54">
        <v>120</v>
      </c>
      <c r="P54">
        <v>80</v>
      </c>
      <c r="Q54">
        <v>469.5</v>
      </c>
      <c r="R54">
        <v>1</v>
      </c>
      <c r="S54">
        <v>59.858878871031003</v>
      </c>
      <c r="T54">
        <f t="shared" si="0"/>
        <v>0.59858878871031007</v>
      </c>
      <c r="U54" t="s">
        <v>47</v>
      </c>
      <c r="V54" t="s">
        <v>48</v>
      </c>
    </row>
    <row r="55" spans="1:22" x14ac:dyDescent="0.25">
      <c r="A55">
        <v>54</v>
      </c>
      <c r="B55" t="s">
        <v>36</v>
      </c>
      <c r="C55" s="2">
        <v>45637</v>
      </c>
      <c r="D55" t="s">
        <v>37</v>
      </c>
      <c r="E55" t="s">
        <v>139</v>
      </c>
      <c r="F55" t="s">
        <v>76</v>
      </c>
      <c r="G55">
        <v>3</v>
      </c>
      <c r="H55" t="s">
        <v>107</v>
      </c>
      <c r="I55" t="s">
        <v>108</v>
      </c>
      <c r="J55" t="s">
        <v>109</v>
      </c>
      <c r="K55" t="s">
        <v>110</v>
      </c>
      <c r="L55" t="s">
        <v>111</v>
      </c>
      <c r="M55" t="s">
        <v>45</v>
      </c>
      <c r="N55" t="s">
        <v>46</v>
      </c>
      <c r="O55">
        <v>3</v>
      </c>
      <c r="P55">
        <v>35</v>
      </c>
      <c r="Q55">
        <v>451.7</v>
      </c>
      <c r="R55">
        <v>0</v>
      </c>
      <c r="S55">
        <v>30.7875894988067</v>
      </c>
      <c r="T55">
        <f t="shared" si="0"/>
        <v>0.307875894988067</v>
      </c>
      <c r="U55" t="s">
        <v>47</v>
      </c>
      <c r="V55" t="s">
        <v>48</v>
      </c>
    </row>
    <row r="56" spans="1:22" x14ac:dyDescent="0.25">
      <c r="A56">
        <v>55</v>
      </c>
      <c r="B56" t="s">
        <v>36</v>
      </c>
      <c r="C56" s="2">
        <v>45637</v>
      </c>
      <c r="D56" t="s">
        <v>37</v>
      </c>
      <c r="E56" t="s">
        <v>88</v>
      </c>
      <c r="F56" t="s">
        <v>76</v>
      </c>
      <c r="G56">
        <v>3</v>
      </c>
      <c r="H56" t="s">
        <v>113</v>
      </c>
      <c r="I56" t="s">
        <v>114</v>
      </c>
      <c r="J56" t="s">
        <v>42</v>
      </c>
      <c r="K56" t="s">
        <v>115</v>
      </c>
      <c r="L56" t="s">
        <v>116</v>
      </c>
      <c r="M56" t="s">
        <v>54</v>
      </c>
      <c r="N56" t="s">
        <v>46</v>
      </c>
      <c r="O56">
        <v>10</v>
      </c>
      <c r="P56">
        <v>80</v>
      </c>
      <c r="Q56">
        <v>388.8</v>
      </c>
      <c r="R56">
        <v>0</v>
      </c>
      <c r="S56">
        <v>56.2582345191041</v>
      </c>
      <c r="T56">
        <f t="shared" si="0"/>
        <v>0.562582345191041</v>
      </c>
      <c r="U56" t="s">
        <v>47</v>
      </c>
      <c r="V56" t="s">
        <v>48</v>
      </c>
    </row>
    <row r="57" spans="1:22" x14ac:dyDescent="0.25">
      <c r="A57">
        <v>56</v>
      </c>
      <c r="B57" t="s">
        <v>36</v>
      </c>
      <c r="C57" s="2">
        <v>45637</v>
      </c>
      <c r="D57" t="s">
        <v>37</v>
      </c>
      <c r="E57" t="s">
        <v>140</v>
      </c>
      <c r="F57" t="s">
        <v>76</v>
      </c>
      <c r="G57">
        <v>3</v>
      </c>
      <c r="H57" t="s">
        <v>117</v>
      </c>
      <c r="I57" t="s">
        <v>118</v>
      </c>
      <c r="J57" t="s">
        <v>42</v>
      </c>
      <c r="K57" t="s">
        <v>119</v>
      </c>
      <c r="L57" t="s">
        <v>120</v>
      </c>
      <c r="M57" t="s">
        <v>45</v>
      </c>
      <c r="N57" t="s">
        <v>46</v>
      </c>
      <c r="O57">
        <v>120</v>
      </c>
      <c r="P57">
        <v>95</v>
      </c>
      <c r="Q57">
        <v>128.5</v>
      </c>
      <c r="R57">
        <v>1</v>
      </c>
      <c r="S57">
        <v>58.633093525179902</v>
      </c>
      <c r="T57">
        <f t="shared" si="0"/>
        <v>0.58633093525179902</v>
      </c>
      <c r="U57" t="s">
        <v>47</v>
      </c>
      <c r="V57" t="s">
        <v>48</v>
      </c>
    </row>
    <row r="58" spans="1:22" x14ac:dyDescent="0.25">
      <c r="A58">
        <v>57</v>
      </c>
      <c r="B58" t="s">
        <v>36</v>
      </c>
      <c r="C58" s="2">
        <v>45637</v>
      </c>
      <c r="D58" t="s">
        <v>37</v>
      </c>
      <c r="E58" t="s">
        <v>90</v>
      </c>
      <c r="F58" t="s">
        <v>76</v>
      </c>
      <c r="G58">
        <v>3</v>
      </c>
      <c r="H58" t="s">
        <v>122</v>
      </c>
      <c r="I58" t="s">
        <v>123</v>
      </c>
      <c r="J58" t="s">
        <v>109</v>
      </c>
      <c r="K58" t="s">
        <v>124</v>
      </c>
      <c r="L58" t="s">
        <v>111</v>
      </c>
      <c r="M58" t="s">
        <v>45</v>
      </c>
      <c r="N58" t="s">
        <v>46</v>
      </c>
      <c r="O58">
        <v>10</v>
      </c>
      <c r="P58">
        <v>50</v>
      </c>
      <c r="Q58">
        <v>681.9</v>
      </c>
      <c r="R58">
        <v>0</v>
      </c>
      <c r="S58">
        <v>38.374291115311898</v>
      </c>
      <c r="T58">
        <f t="shared" si="0"/>
        <v>0.38374291115311898</v>
      </c>
      <c r="U58" t="s">
        <v>47</v>
      </c>
      <c r="V58" t="s">
        <v>48</v>
      </c>
    </row>
    <row r="59" spans="1:22" x14ac:dyDescent="0.25">
      <c r="A59">
        <v>58</v>
      </c>
      <c r="B59" t="s">
        <v>36</v>
      </c>
      <c r="C59" s="2">
        <v>45637</v>
      </c>
      <c r="D59" t="s">
        <v>37</v>
      </c>
      <c r="E59" t="s">
        <v>141</v>
      </c>
      <c r="F59" t="s">
        <v>76</v>
      </c>
      <c r="G59">
        <v>3</v>
      </c>
      <c r="H59" t="s">
        <v>126</v>
      </c>
      <c r="I59" t="s">
        <v>127</v>
      </c>
      <c r="J59" t="s">
        <v>42</v>
      </c>
      <c r="K59" t="s">
        <v>128</v>
      </c>
      <c r="L59" t="s">
        <v>129</v>
      </c>
      <c r="M59" t="s">
        <v>45</v>
      </c>
      <c r="N59" t="s">
        <v>46</v>
      </c>
      <c r="O59">
        <v>15</v>
      </c>
      <c r="P59">
        <v>70</v>
      </c>
      <c r="Q59">
        <v>537.79999999999995</v>
      </c>
      <c r="R59">
        <v>0</v>
      </c>
      <c r="S59">
        <v>45.584725536992799</v>
      </c>
      <c r="T59">
        <f t="shared" si="0"/>
        <v>0.45584725536992798</v>
      </c>
      <c r="U59" t="s">
        <v>47</v>
      </c>
      <c r="V59" t="s">
        <v>48</v>
      </c>
    </row>
    <row r="60" spans="1:22" x14ac:dyDescent="0.25">
      <c r="A60">
        <v>59</v>
      </c>
      <c r="B60" t="s">
        <v>36</v>
      </c>
      <c r="C60" s="2">
        <v>45637</v>
      </c>
      <c r="D60" t="s">
        <v>37</v>
      </c>
      <c r="E60" t="s">
        <v>142</v>
      </c>
      <c r="F60" t="s">
        <v>76</v>
      </c>
      <c r="G60">
        <v>3</v>
      </c>
      <c r="H60" t="s">
        <v>131</v>
      </c>
      <c r="I60" t="s">
        <v>132</v>
      </c>
      <c r="J60" t="s">
        <v>42</v>
      </c>
      <c r="K60" t="s">
        <v>133</v>
      </c>
      <c r="L60" t="s">
        <v>59</v>
      </c>
      <c r="M60" t="s">
        <v>101</v>
      </c>
      <c r="N60" t="s">
        <v>46</v>
      </c>
      <c r="O60">
        <v>81</v>
      </c>
      <c r="P60">
        <v>85</v>
      </c>
      <c r="Q60">
        <v>533.79999999999995</v>
      </c>
      <c r="R60">
        <v>0</v>
      </c>
      <c r="S60">
        <v>54.932502596054</v>
      </c>
      <c r="T60">
        <f t="shared" si="0"/>
        <v>0.54932502596054</v>
      </c>
      <c r="U60" t="s">
        <v>47</v>
      </c>
      <c r="V60" t="s">
        <v>48</v>
      </c>
    </row>
    <row r="61" spans="1:22" x14ac:dyDescent="0.25">
      <c r="A61">
        <v>60</v>
      </c>
      <c r="B61" t="s">
        <v>36</v>
      </c>
      <c r="C61" s="2">
        <v>45637</v>
      </c>
      <c r="D61" t="s">
        <v>37</v>
      </c>
      <c r="E61" t="s">
        <v>93</v>
      </c>
      <c r="F61" t="s">
        <v>76</v>
      </c>
      <c r="G61">
        <v>1</v>
      </c>
      <c r="H61" t="s">
        <v>40</v>
      </c>
      <c r="I61" t="s">
        <v>41</v>
      </c>
      <c r="J61" t="s">
        <v>42</v>
      </c>
      <c r="K61" t="s">
        <v>43</v>
      </c>
      <c r="L61" t="s">
        <v>44</v>
      </c>
      <c r="M61" t="s">
        <v>45</v>
      </c>
      <c r="N61" t="s">
        <v>46</v>
      </c>
      <c r="O61">
        <v>30</v>
      </c>
      <c r="P61">
        <v>30</v>
      </c>
      <c r="Q61">
        <v>632.1</v>
      </c>
      <c r="R61">
        <v>0</v>
      </c>
      <c r="S61">
        <v>41.025641025641001</v>
      </c>
      <c r="T61">
        <f t="shared" si="0"/>
        <v>0.41025641025641002</v>
      </c>
      <c r="U61" t="s">
        <v>47</v>
      </c>
      <c r="V61" t="s">
        <v>48</v>
      </c>
    </row>
    <row r="62" spans="1:22" x14ac:dyDescent="0.25">
      <c r="A62">
        <v>61</v>
      </c>
      <c r="B62" t="s">
        <v>36</v>
      </c>
      <c r="C62" s="2">
        <v>45637</v>
      </c>
      <c r="D62" t="s">
        <v>37</v>
      </c>
      <c r="E62" t="s">
        <v>143</v>
      </c>
      <c r="F62" t="s">
        <v>76</v>
      </c>
      <c r="G62">
        <v>1</v>
      </c>
      <c r="H62" t="s">
        <v>50</v>
      </c>
      <c r="I62" t="s">
        <v>51</v>
      </c>
      <c r="J62" t="s">
        <v>42</v>
      </c>
      <c r="K62" t="s">
        <v>52</v>
      </c>
      <c r="L62" t="s">
        <v>53</v>
      </c>
      <c r="M62" t="s">
        <v>54</v>
      </c>
      <c r="N62" t="s">
        <v>46</v>
      </c>
      <c r="O62">
        <v>60</v>
      </c>
      <c r="P62">
        <v>40</v>
      </c>
      <c r="Q62">
        <v>450.1</v>
      </c>
      <c r="R62">
        <v>0</v>
      </c>
      <c r="S62">
        <v>39.013452914798201</v>
      </c>
      <c r="T62">
        <f t="shared" si="0"/>
        <v>0.39013452914798202</v>
      </c>
      <c r="U62" t="s">
        <v>47</v>
      </c>
      <c r="V62" t="s">
        <v>48</v>
      </c>
    </row>
    <row r="63" spans="1:22" x14ac:dyDescent="0.25">
      <c r="A63">
        <v>62</v>
      </c>
      <c r="B63" t="s">
        <v>36</v>
      </c>
      <c r="C63" s="2">
        <v>45637</v>
      </c>
      <c r="D63" t="s">
        <v>37</v>
      </c>
      <c r="E63" t="s">
        <v>144</v>
      </c>
      <c r="F63" t="s">
        <v>76</v>
      </c>
      <c r="G63">
        <v>1</v>
      </c>
      <c r="H63" t="s">
        <v>56</v>
      </c>
      <c r="I63" t="s">
        <v>57</v>
      </c>
      <c r="J63" t="s">
        <v>42</v>
      </c>
      <c r="K63" t="s">
        <v>58</v>
      </c>
      <c r="L63" t="s">
        <v>59</v>
      </c>
      <c r="M63" t="s">
        <v>45</v>
      </c>
      <c r="N63" t="s">
        <v>46</v>
      </c>
      <c r="O63">
        <v>10</v>
      </c>
      <c r="P63">
        <v>50</v>
      </c>
      <c r="Q63">
        <v>611.70000000000005</v>
      </c>
      <c r="R63">
        <v>0</v>
      </c>
      <c r="S63">
        <v>51.971326164874498</v>
      </c>
      <c r="T63">
        <f t="shared" si="0"/>
        <v>0.51971326164874498</v>
      </c>
      <c r="U63" t="s">
        <v>47</v>
      </c>
      <c r="V63" t="s">
        <v>48</v>
      </c>
    </row>
    <row r="64" spans="1:22" x14ac:dyDescent="0.25">
      <c r="A64">
        <v>63</v>
      </c>
      <c r="B64" t="s">
        <v>36</v>
      </c>
      <c r="C64" s="2">
        <v>45637</v>
      </c>
      <c r="D64" t="s">
        <v>37</v>
      </c>
      <c r="E64" t="s">
        <v>145</v>
      </c>
      <c r="F64" t="s">
        <v>76</v>
      </c>
      <c r="G64">
        <v>2</v>
      </c>
      <c r="H64" t="s">
        <v>40</v>
      </c>
      <c r="I64" t="s">
        <v>41</v>
      </c>
      <c r="J64" t="s">
        <v>42</v>
      </c>
      <c r="K64" t="s">
        <v>43</v>
      </c>
      <c r="L64" t="s">
        <v>44</v>
      </c>
      <c r="M64" t="s">
        <v>45</v>
      </c>
      <c r="N64" t="s">
        <v>46</v>
      </c>
      <c r="O64">
        <v>10</v>
      </c>
      <c r="P64">
        <v>40</v>
      </c>
      <c r="Q64">
        <v>749.9</v>
      </c>
      <c r="R64">
        <v>0</v>
      </c>
      <c r="S64">
        <v>37.556561085972902</v>
      </c>
      <c r="T64">
        <f t="shared" si="0"/>
        <v>0.375565610859729</v>
      </c>
      <c r="U64" t="s">
        <v>47</v>
      </c>
      <c r="V64" t="s">
        <v>48</v>
      </c>
    </row>
    <row r="65" spans="1:22" x14ac:dyDescent="0.25">
      <c r="A65">
        <v>64</v>
      </c>
      <c r="B65" t="s">
        <v>36</v>
      </c>
      <c r="C65" s="2">
        <v>45637</v>
      </c>
      <c r="D65" t="s">
        <v>37</v>
      </c>
      <c r="E65" t="s">
        <v>146</v>
      </c>
      <c r="F65" t="s">
        <v>76</v>
      </c>
      <c r="G65">
        <v>2</v>
      </c>
      <c r="H65" t="s">
        <v>50</v>
      </c>
      <c r="I65" t="s">
        <v>51</v>
      </c>
      <c r="J65" t="s">
        <v>42</v>
      </c>
      <c r="K65" t="s">
        <v>52</v>
      </c>
      <c r="L65" t="s">
        <v>53</v>
      </c>
      <c r="M65" t="s">
        <v>54</v>
      </c>
      <c r="N65" t="s">
        <v>46</v>
      </c>
      <c r="O65">
        <v>61</v>
      </c>
      <c r="P65">
        <v>55</v>
      </c>
      <c r="Q65">
        <v>330</v>
      </c>
      <c r="R65">
        <v>0</v>
      </c>
      <c r="S65">
        <v>46.586345381526101</v>
      </c>
      <c r="T65">
        <f t="shared" si="0"/>
        <v>0.46586345381526101</v>
      </c>
      <c r="U65" t="s">
        <v>47</v>
      </c>
      <c r="V65" t="s">
        <v>48</v>
      </c>
    </row>
    <row r="66" spans="1:22" x14ac:dyDescent="0.25">
      <c r="A66">
        <v>65</v>
      </c>
      <c r="B66" t="s">
        <v>36</v>
      </c>
      <c r="C66" s="2">
        <v>45637</v>
      </c>
      <c r="D66" t="s">
        <v>37</v>
      </c>
      <c r="E66" t="s">
        <v>147</v>
      </c>
      <c r="F66" t="s">
        <v>96</v>
      </c>
      <c r="G66">
        <v>2</v>
      </c>
      <c r="H66" t="s">
        <v>56</v>
      </c>
      <c r="I66" t="s">
        <v>57</v>
      </c>
      <c r="J66" t="s">
        <v>42</v>
      </c>
      <c r="K66" t="s">
        <v>58</v>
      </c>
      <c r="L66" t="s">
        <v>59</v>
      </c>
      <c r="M66" t="s">
        <v>45</v>
      </c>
      <c r="N66" t="s">
        <v>46</v>
      </c>
      <c r="O66">
        <v>38</v>
      </c>
      <c r="P66">
        <v>50</v>
      </c>
      <c r="Q66">
        <v>527</v>
      </c>
      <c r="R66">
        <v>0</v>
      </c>
      <c r="S66">
        <v>51.017441860465098</v>
      </c>
      <c r="T66">
        <f t="shared" si="0"/>
        <v>0.51017441860465096</v>
      </c>
      <c r="U66" t="s">
        <v>47</v>
      </c>
      <c r="V66" t="s">
        <v>48</v>
      </c>
    </row>
    <row r="67" spans="1:22" x14ac:dyDescent="0.25">
      <c r="A67">
        <v>66</v>
      </c>
      <c r="B67" t="s">
        <v>36</v>
      </c>
      <c r="C67" s="2">
        <v>45637</v>
      </c>
      <c r="D67" t="s">
        <v>37</v>
      </c>
      <c r="E67" t="s">
        <v>148</v>
      </c>
      <c r="F67" t="s">
        <v>96</v>
      </c>
      <c r="G67">
        <v>3</v>
      </c>
      <c r="H67" t="s">
        <v>40</v>
      </c>
      <c r="I67" t="s">
        <v>41</v>
      </c>
      <c r="J67" t="s">
        <v>42</v>
      </c>
      <c r="K67" t="s">
        <v>43</v>
      </c>
      <c r="L67" t="s">
        <v>44</v>
      </c>
      <c r="M67" t="s">
        <v>45</v>
      </c>
      <c r="N67" t="s">
        <v>46</v>
      </c>
      <c r="O67">
        <v>80</v>
      </c>
      <c r="P67">
        <v>20</v>
      </c>
      <c r="Q67">
        <v>653.1</v>
      </c>
      <c r="R67">
        <v>0</v>
      </c>
      <c r="S67">
        <v>42.138364779874202</v>
      </c>
      <c r="T67">
        <f t="shared" ref="T67:T130" si="1">S67/100</f>
        <v>0.42138364779874204</v>
      </c>
      <c r="U67" t="s">
        <v>47</v>
      </c>
      <c r="V67" t="s">
        <v>48</v>
      </c>
    </row>
    <row r="68" spans="1:22" x14ac:dyDescent="0.25">
      <c r="A68">
        <v>67</v>
      </c>
      <c r="B68" t="s">
        <v>36</v>
      </c>
      <c r="C68" s="2">
        <v>45637</v>
      </c>
      <c r="D68" t="s">
        <v>37</v>
      </c>
      <c r="E68" t="s">
        <v>149</v>
      </c>
      <c r="F68" t="s">
        <v>96</v>
      </c>
      <c r="G68">
        <v>3</v>
      </c>
      <c r="H68" t="s">
        <v>50</v>
      </c>
      <c r="I68" t="s">
        <v>51</v>
      </c>
      <c r="J68" t="s">
        <v>42</v>
      </c>
      <c r="K68" t="s">
        <v>52</v>
      </c>
      <c r="L68" t="s">
        <v>53</v>
      </c>
      <c r="M68" t="s">
        <v>54</v>
      </c>
      <c r="N68" t="s">
        <v>46</v>
      </c>
      <c r="O68">
        <v>61</v>
      </c>
      <c r="P68">
        <v>30</v>
      </c>
      <c r="Q68">
        <v>435.5</v>
      </c>
      <c r="R68">
        <v>0</v>
      </c>
      <c r="S68">
        <v>36.585365853658502</v>
      </c>
      <c r="T68">
        <f t="shared" si="1"/>
        <v>0.36585365853658502</v>
      </c>
      <c r="U68" t="s">
        <v>47</v>
      </c>
      <c r="V68" t="s">
        <v>48</v>
      </c>
    </row>
    <row r="69" spans="1:22" x14ac:dyDescent="0.25">
      <c r="A69">
        <v>68</v>
      </c>
      <c r="B69" t="s">
        <v>36</v>
      </c>
      <c r="C69" s="2">
        <v>45637</v>
      </c>
      <c r="D69" t="s">
        <v>37</v>
      </c>
      <c r="E69" t="s">
        <v>150</v>
      </c>
      <c r="F69" t="s">
        <v>96</v>
      </c>
      <c r="G69">
        <v>3</v>
      </c>
      <c r="H69" t="s">
        <v>56</v>
      </c>
      <c r="I69" t="s">
        <v>57</v>
      </c>
      <c r="J69" t="s">
        <v>42</v>
      </c>
      <c r="K69" t="s">
        <v>58</v>
      </c>
      <c r="L69" t="s">
        <v>59</v>
      </c>
      <c r="M69" t="s">
        <v>45</v>
      </c>
      <c r="N69" t="s">
        <v>46</v>
      </c>
      <c r="O69">
        <v>90</v>
      </c>
      <c r="P69">
        <v>25</v>
      </c>
      <c r="Q69">
        <v>620.6</v>
      </c>
      <c r="R69">
        <v>0</v>
      </c>
      <c r="S69">
        <v>54.506828528072802</v>
      </c>
      <c r="T69">
        <f t="shared" si="1"/>
        <v>0.54506828528072804</v>
      </c>
      <c r="U69" t="s">
        <v>47</v>
      </c>
      <c r="V69" t="s">
        <v>48</v>
      </c>
    </row>
    <row r="70" spans="1:22" x14ac:dyDescent="0.25">
      <c r="A70">
        <v>69</v>
      </c>
      <c r="B70" t="s">
        <v>36</v>
      </c>
      <c r="C70" s="2">
        <v>45638</v>
      </c>
      <c r="D70" t="s">
        <v>37</v>
      </c>
      <c r="E70" t="s">
        <v>151</v>
      </c>
      <c r="F70" t="s">
        <v>39</v>
      </c>
      <c r="G70">
        <v>1</v>
      </c>
      <c r="H70" t="s">
        <v>152</v>
      </c>
      <c r="I70" t="s">
        <v>153</v>
      </c>
      <c r="J70" t="s">
        <v>42</v>
      </c>
      <c r="K70" t="s">
        <v>154</v>
      </c>
      <c r="L70" t="s">
        <v>111</v>
      </c>
      <c r="M70" t="s">
        <v>45</v>
      </c>
      <c r="N70" t="s">
        <v>46</v>
      </c>
      <c r="O70">
        <v>5</v>
      </c>
      <c r="P70">
        <v>5</v>
      </c>
      <c r="Q70">
        <v>662.5</v>
      </c>
      <c r="R70">
        <v>0</v>
      </c>
      <c r="S70">
        <v>36.574074074074097</v>
      </c>
      <c r="T70">
        <f t="shared" si="1"/>
        <v>0.36574074074074098</v>
      </c>
      <c r="U70" t="s">
        <v>47</v>
      </c>
      <c r="V70" t="s">
        <v>48</v>
      </c>
    </row>
    <row r="71" spans="1:22" x14ac:dyDescent="0.25">
      <c r="A71">
        <v>70</v>
      </c>
      <c r="B71" t="s">
        <v>36</v>
      </c>
      <c r="C71" s="2">
        <v>45638</v>
      </c>
      <c r="D71" t="s">
        <v>37</v>
      </c>
      <c r="E71" t="s">
        <v>155</v>
      </c>
      <c r="F71" t="s">
        <v>39</v>
      </c>
      <c r="G71">
        <v>1</v>
      </c>
      <c r="H71" t="s">
        <v>156</v>
      </c>
      <c r="I71" t="s">
        <v>157</v>
      </c>
      <c r="J71" t="s">
        <v>42</v>
      </c>
      <c r="K71" t="s">
        <v>158</v>
      </c>
      <c r="L71" t="s">
        <v>159</v>
      </c>
      <c r="M71" t="s">
        <v>54</v>
      </c>
      <c r="N71" t="s">
        <v>46</v>
      </c>
      <c r="O71">
        <v>69</v>
      </c>
      <c r="P71">
        <v>90</v>
      </c>
      <c r="Q71">
        <v>450.2</v>
      </c>
      <c r="R71">
        <v>1</v>
      </c>
      <c r="S71">
        <v>57.830591102985998</v>
      </c>
      <c r="T71">
        <f t="shared" si="1"/>
        <v>0.57830591102985995</v>
      </c>
      <c r="U71" t="s">
        <v>47</v>
      </c>
      <c r="V71" t="s">
        <v>48</v>
      </c>
    </row>
    <row r="72" spans="1:22" x14ac:dyDescent="0.25">
      <c r="A72">
        <v>71</v>
      </c>
      <c r="B72" t="s">
        <v>36</v>
      </c>
      <c r="C72" s="2">
        <v>45638</v>
      </c>
      <c r="D72" t="s">
        <v>37</v>
      </c>
      <c r="E72" t="s">
        <v>160</v>
      </c>
      <c r="F72" t="s">
        <v>39</v>
      </c>
      <c r="G72">
        <v>1</v>
      </c>
      <c r="H72" t="s">
        <v>161</v>
      </c>
      <c r="I72" t="s">
        <v>162</v>
      </c>
      <c r="J72" t="s">
        <v>42</v>
      </c>
      <c r="K72" t="s">
        <v>163</v>
      </c>
      <c r="L72" t="s">
        <v>164</v>
      </c>
      <c r="M72" t="s">
        <v>54</v>
      </c>
      <c r="N72" t="s">
        <v>46</v>
      </c>
      <c r="O72">
        <v>9</v>
      </c>
      <c r="P72">
        <v>60</v>
      </c>
      <c r="Q72">
        <v>513.1</v>
      </c>
      <c r="R72">
        <v>0</v>
      </c>
      <c r="S72">
        <v>46.818181818181799</v>
      </c>
      <c r="T72">
        <f t="shared" si="1"/>
        <v>0.46818181818181798</v>
      </c>
      <c r="U72" t="s">
        <v>47</v>
      </c>
      <c r="V72" t="s">
        <v>48</v>
      </c>
    </row>
    <row r="73" spans="1:22" x14ac:dyDescent="0.25">
      <c r="A73">
        <v>72</v>
      </c>
      <c r="B73" t="s">
        <v>36</v>
      </c>
      <c r="C73" s="2">
        <v>45638</v>
      </c>
      <c r="D73" t="s">
        <v>37</v>
      </c>
      <c r="E73" t="s">
        <v>165</v>
      </c>
      <c r="F73" t="s">
        <v>39</v>
      </c>
      <c r="G73">
        <v>1</v>
      </c>
      <c r="H73" t="s">
        <v>166</v>
      </c>
      <c r="I73" t="s">
        <v>167</v>
      </c>
      <c r="J73" t="s">
        <v>42</v>
      </c>
      <c r="K73" t="s">
        <v>168</v>
      </c>
      <c r="L73" t="s">
        <v>59</v>
      </c>
      <c r="M73" t="s">
        <v>45</v>
      </c>
      <c r="N73" t="s">
        <v>46</v>
      </c>
      <c r="O73">
        <v>20</v>
      </c>
      <c r="P73">
        <v>80</v>
      </c>
      <c r="Q73">
        <v>418.5</v>
      </c>
      <c r="R73">
        <v>0</v>
      </c>
      <c r="S73">
        <v>52.838427947598298</v>
      </c>
      <c r="T73">
        <f t="shared" si="1"/>
        <v>0.52838427947598299</v>
      </c>
      <c r="U73" t="s">
        <v>47</v>
      </c>
      <c r="V73" t="s">
        <v>48</v>
      </c>
    </row>
    <row r="74" spans="1:22" x14ac:dyDescent="0.25">
      <c r="A74">
        <v>73</v>
      </c>
      <c r="B74" t="s">
        <v>36</v>
      </c>
      <c r="C74" s="2">
        <v>45638</v>
      </c>
      <c r="D74" t="s">
        <v>37</v>
      </c>
      <c r="E74" t="s">
        <v>169</v>
      </c>
      <c r="F74" t="s">
        <v>39</v>
      </c>
      <c r="G74">
        <v>1</v>
      </c>
      <c r="H74" t="s">
        <v>170</v>
      </c>
      <c r="I74" t="s">
        <v>171</v>
      </c>
      <c r="J74" t="s">
        <v>42</v>
      </c>
      <c r="K74" t="s">
        <v>172</v>
      </c>
      <c r="L74" t="s">
        <v>53</v>
      </c>
      <c r="M74" t="s">
        <v>54</v>
      </c>
      <c r="N74" t="s">
        <v>46</v>
      </c>
      <c r="O74">
        <v>22</v>
      </c>
      <c r="P74">
        <v>20</v>
      </c>
      <c r="Q74">
        <v>642</v>
      </c>
      <c r="R74">
        <v>0</v>
      </c>
      <c r="S74">
        <v>41.501976284584998</v>
      </c>
      <c r="T74">
        <f t="shared" si="1"/>
        <v>0.41501976284584996</v>
      </c>
      <c r="U74" t="s">
        <v>47</v>
      </c>
      <c r="V74" t="s">
        <v>48</v>
      </c>
    </row>
    <row r="75" spans="1:22" x14ac:dyDescent="0.25">
      <c r="A75">
        <v>74</v>
      </c>
      <c r="B75" t="s">
        <v>36</v>
      </c>
      <c r="C75" s="2">
        <v>45638</v>
      </c>
      <c r="D75" t="s">
        <v>37</v>
      </c>
      <c r="E75" t="s">
        <v>173</v>
      </c>
      <c r="F75" t="s">
        <v>39</v>
      </c>
      <c r="G75">
        <v>1</v>
      </c>
      <c r="H75" t="s">
        <v>174</v>
      </c>
      <c r="I75" t="s">
        <v>175</v>
      </c>
      <c r="J75" t="s">
        <v>42</v>
      </c>
      <c r="K75" t="s">
        <v>176</v>
      </c>
      <c r="L75" t="s">
        <v>177</v>
      </c>
      <c r="M75" t="s">
        <v>101</v>
      </c>
      <c r="N75" t="s">
        <v>46</v>
      </c>
      <c r="O75">
        <v>120</v>
      </c>
      <c r="P75">
        <v>95</v>
      </c>
      <c r="Q75">
        <v>233.2</v>
      </c>
      <c r="R75">
        <v>1</v>
      </c>
      <c r="S75">
        <v>82.788296041308101</v>
      </c>
      <c r="T75">
        <f t="shared" si="1"/>
        <v>0.82788296041308096</v>
      </c>
      <c r="U75" t="s">
        <v>47</v>
      </c>
      <c r="V75" t="s">
        <v>48</v>
      </c>
    </row>
    <row r="76" spans="1:22" x14ac:dyDescent="0.25">
      <c r="A76">
        <v>75</v>
      </c>
      <c r="B76" t="s">
        <v>36</v>
      </c>
      <c r="C76" s="2">
        <v>45638</v>
      </c>
      <c r="D76" t="s">
        <v>37</v>
      </c>
      <c r="E76" t="s">
        <v>155</v>
      </c>
      <c r="F76" t="s">
        <v>39</v>
      </c>
      <c r="G76">
        <v>1</v>
      </c>
      <c r="H76" t="s">
        <v>178</v>
      </c>
      <c r="I76" t="s">
        <v>179</v>
      </c>
      <c r="J76" t="s">
        <v>42</v>
      </c>
      <c r="K76" t="s">
        <v>180</v>
      </c>
      <c r="L76" t="s">
        <v>59</v>
      </c>
      <c r="M76" t="s">
        <v>101</v>
      </c>
      <c r="N76" t="s">
        <v>46</v>
      </c>
      <c r="O76">
        <v>56</v>
      </c>
      <c r="P76">
        <v>85</v>
      </c>
      <c r="Q76">
        <v>419.5</v>
      </c>
      <c r="R76">
        <v>0</v>
      </c>
      <c r="S76">
        <v>50.160427807486599</v>
      </c>
      <c r="T76">
        <f t="shared" si="1"/>
        <v>0.50160427807486596</v>
      </c>
      <c r="U76" t="s">
        <v>47</v>
      </c>
      <c r="V76" t="s">
        <v>48</v>
      </c>
    </row>
    <row r="77" spans="1:22" x14ac:dyDescent="0.25">
      <c r="A77">
        <v>76</v>
      </c>
      <c r="B77" t="s">
        <v>36</v>
      </c>
      <c r="C77" s="2">
        <v>45638</v>
      </c>
      <c r="D77" t="s">
        <v>37</v>
      </c>
      <c r="E77" t="s">
        <v>181</v>
      </c>
      <c r="F77" t="s">
        <v>39</v>
      </c>
      <c r="G77">
        <v>1</v>
      </c>
      <c r="H77" t="s">
        <v>182</v>
      </c>
      <c r="I77" t="s">
        <v>183</v>
      </c>
      <c r="J77" t="s">
        <v>42</v>
      </c>
      <c r="K77" t="s">
        <v>184</v>
      </c>
      <c r="L77" t="s">
        <v>185</v>
      </c>
      <c r="M77" t="s">
        <v>101</v>
      </c>
      <c r="N77" t="s">
        <v>46</v>
      </c>
      <c r="O77">
        <v>83</v>
      </c>
      <c r="P77">
        <v>85</v>
      </c>
      <c r="Q77">
        <v>373.7</v>
      </c>
      <c r="R77">
        <v>0</v>
      </c>
      <c r="S77">
        <v>58.453473132372203</v>
      </c>
      <c r="T77">
        <f t="shared" si="1"/>
        <v>0.58453473132372202</v>
      </c>
      <c r="U77" t="s">
        <v>47</v>
      </c>
      <c r="V77" t="s">
        <v>48</v>
      </c>
    </row>
    <row r="78" spans="1:22" x14ac:dyDescent="0.25">
      <c r="A78">
        <v>77</v>
      </c>
      <c r="B78" t="s">
        <v>36</v>
      </c>
      <c r="C78" s="2">
        <v>45638</v>
      </c>
      <c r="D78" t="s">
        <v>37</v>
      </c>
      <c r="E78" t="s">
        <v>106</v>
      </c>
      <c r="F78" t="s">
        <v>39</v>
      </c>
      <c r="G78">
        <v>21</v>
      </c>
      <c r="H78" t="s">
        <v>186</v>
      </c>
      <c r="I78" t="s">
        <v>187</v>
      </c>
      <c r="J78" t="s">
        <v>42</v>
      </c>
      <c r="K78" t="s">
        <v>188</v>
      </c>
      <c r="L78" t="s">
        <v>53</v>
      </c>
      <c r="M78" t="s">
        <v>45</v>
      </c>
      <c r="N78" t="s">
        <v>46</v>
      </c>
      <c r="O78">
        <v>120</v>
      </c>
      <c r="P78">
        <v>90</v>
      </c>
      <c r="Q78">
        <v>312.3</v>
      </c>
      <c r="R78">
        <v>1</v>
      </c>
      <c r="S78">
        <v>51.985559566787003</v>
      </c>
      <c r="T78">
        <f t="shared" si="1"/>
        <v>0.51985559566786999</v>
      </c>
      <c r="U78" t="s">
        <v>47</v>
      </c>
      <c r="V78" t="s">
        <v>48</v>
      </c>
    </row>
    <row r="79" spans="1:22" x14ac:dyDescent="0.25">
      <c r="A79">
        <v>78</v>
      </c>
      <c r="B79" t="s">
        <v>36</v>
      </c>
      <c r="C79" s="2">
        <v>45638</v>
      </c>
      <c r="D79" t="s">
        <v>37</v>
      </c>
      <c r="E79" t="s">
        <v>189</v>
      </c>
      <c r="F79" t="s">
        <v>39</v>
      </c>
      <c r="G79">
        <v>21</v>
      </c>
      <c r="H79" t="s">
        <v>190</v>
      </c>
      <c r="I79" t="s">
        <v>191</v>
      </c>
      <c r="J79" t="s">
        <v>42</v>
      </c>
      <c r="K79" t="s">
        <v>192</v>
      </c>
      <c r="L79" t="s">
        <v>59</v>
      </c>
      <c r="M79" t="s">
        <v>45</v>
      </c>
      <c r="N79" t="s">
        <v>46</v>
      </c>
      <c r="O79">
        <v>100</v>
      </c>
      <c r="P79">
        <v>85</v>
      </c>
      <c r="Q79">
        <v>314.2</v>
      </c>
      <c r="R79">
        <v>0</v>
      </c>
      <c r="S79">
        <v>56.802063185041902</v>
      </c>
      <c r="T79">
        <f t="shared" si="1"/>
        <v>0.56802063185041907</v>
      </c>
      <c r="U79" t="s">
        <v>47</v>
      </c>
      <c r="V79" t="s">
        <v>48</v>
      </c>
    </row>
    <row r="80" spans="1:22" x14ac:dyDescent="0.25">
      <c r="A80">
        <v>79</v>
      </c>
      <c r="B80" t="s">
        <v>36</v>
      </c>
      <c r="C80" s="2">
        <v>45638</v>
      </c>
      <c r="D80" t="s">
        <v>37</v>
      </c>
      <c r="E80" t="s">
        <v>193</v>
      </c>
      <c r="F80" t="s">
        <v>39</v>
      </c>
      <c r="G80">
        <v>1</v>
      </c>
      <c r="H80" t="s">
        <v>194</v>
      </c>
      <c r="I80" t="s">
        <v>195</v>
      </c>
      <c r="J80" t="s">
        <v>42</v>
      </c>
      <c r="K80" t="s">
        <v>196</v>
      </c>
      <c r="L80" t="s">
        <v>197</v>
      </c>
      <c r="M80" t="s">
        <v>54</v>
      </c>
      <c r="N80" t="s">
        <v>46</v>
      </c>
      <c r="O80">
        <v>120</v>
      </c>
      <c r="P80">
        <v>95</v>
      </c>
      <c r="Q80">
        <v>218.2</v>
      </c>
      <c r="R80">
        <v>1</v>
      </c>
      <c r="S80">
        <v>85.920925747348093</v>
      </c>
      <c r="T80">
        <f t="shared" si="1"/>
        <v>0.85920925747348098</v>
      </c>
      <c r="U80" t="s">
        <v>47</v>
      </c>
      <c r="V80" t="s">
        <v>48</v>
      </c>
    </row>
    <row r="81" spans="1:22" x14ac:dyDescent="0.25">
      <c r="A81">
        <v>80</v>
      </c>
      <c r="B81" t="s">
        <v>36</v>
      </c>
      <c r="C81" s="2">
        <v>45638</v>
      </c>
      <c r="D81" t="s">
        <v>37</v>
      </c>
      <c r="E81" t="s">
        <v>198</v>
      </c>
      <c r="F81" t="s">
        <v>39</v>
      </c>
      <c r="G81">
        <v>1</v>
      </c>
      <c r="H81" t="s">
        <v>199</v>
      </c>
      <c r="I81" t="s">
        <v>200</v>
      </c>
      <c r="J81" t="s">
        <v>42</v>
      </c>
      <c r="K81" t="s">
        <v>201</v>
      </c>
      <c r="L81" t="s">
        <v>59</v>
      </c>
      <c r="M81" t="s">
        <v>45</v>
      </c>
      <c r="N81" t="s">
        <v>46</v>
      </c>
      <c r="O81">
        <v>58</v>
      </c>
      <c r="P81">
        <v>70</v>
      </c>
      <c r="Q81">
        <v>590.29999999999995</v>
      </c>
      <c r="R81">
        <v>0</v>
      </c>
      <c r="S81">
        <v>64.169381107491901</v>
      </c>
      <c r="T81">
        <f t="shared" si="1"/>
        <v>0.64169381107491896</v>
      </c>
      <c r="U81" t="s">
        <v>47</v>
      </c>
      <c r="V81" t="s">
        <v>48</v>
      </c>
    </row>
    <row r="82" spans="1:22" x14ac:dyDescent="0.25">
      <c r="A82">
        <v>81</v>
      </c>
      <c r="B82" t="s">
        <v>36</v>
      </c>
      <c r="C82" s="2">
        <v>45638</v>
      </c>
      <c r="D82" t="s">
        <v>37</v>
      </c>
      <c r="E82" t="s">
        <v>202</v>
      </c>
      <c r="F82" t="s">
        <v>76</v>
      </c>
      <c r="G82">
        <v>2</v>
      </c>
      <c r="H82" t="s">
        <v>152</v>
      </c>
      <c r="I82" t="s">
        <v>153</v>
      </c>
      <c r="J82" t="s">
        <v>42</v>
      </c>
      <c r="K82" t="s">
        <v>154</v>
      </c>
      <c r="L82" t="s">
        <v>111</v>
      </c>
      <c r="M82" t="s">
        <v>45</v>
      </c>
      <c r="N82" t="s">
        <v>46</v>
      </c>
      <c r="O82">
        <v>10</v>
      </c>
      <c r="P82">
        <v>15</v>
      </c>
      <c r="Q82">
        <v>512.79999999999995</v>
      </c>
      <c r="R82">
        <v>0</v>
      </c>
      <c r="S82">
        <v>35.785953177257497</v>
      </c>
      <c r="T82">
        <f t="shared" si="1"/>
        <v>0.35785953177257496</v>
      </c>
      <c r="U82" t="s">
        <v>47</v>
      </c>
      <c r="V82" t="s">
        <v>48</v>
      </c>
    </row>
    <row r="83" spans="1:22" x14ac:dyDescent="0.25">
      <c r="A83">
        <v>82</v>
      </c>
      <c r="B83" t="s">
        <v>36</v>
      </c>
      <c r="C83" s="2">
        <v>45638</v>
      </c>
      <c r="D83" t="s">
        <v>37</v>
      </c>
      <c r="E83" t="s">
        <v>203</v>
      </c>
      <c r="F83" t="s">
        <v>76</v>
      </c>
      <c r="G83">
        <v>2</v>
      </c>
      <c r="H83" t="s">
        <v>156</v>
      </c>
      <c r="I83" t="s">
        <v>157</v>
      </c>
      <c r="J83" t="s">
        <v>42</v>
      </c>
      <c r="K83" t="s">
        <v>158</v>
      </c>
      <c r="L83" t="s">
        <v>159</v>
      </c>
      <c r="M83" t="s">
        <v>54</v>
      </c>
      <c r="N83" t="s">
        <v>46</v>
      </c>
      <c r="O83">
        <v>37</v>
      </c>
      <c r="P83">
        <v>85</v>
      </c>
      <c r="Q83">
        <v>350.9</v>
      </c>
      <c r="R83">
        <v>0</v>
      </c>
      <c r="S83">
        <v>56.731461483081397</v>
      </c>
      <c r="T83">
        <f t="shared" si="1"/>
        <v>0.56731461483081391</v>
      </c>
      <c r="U83" t="s">
        <v>47</v>
      </c>
      <c r="V83" t="s">
        <v>48</v>
      </c>
    </row>
    <row r="84" spans="1:22" x14ac:dyDescent="0.25">
      <c r="A84">
        <v>83</v>
      </c>
      <c r="B84" t="s">
        <v>36</v>
      </c>
      <c r="C84" s="2">
        <v>45638</v>
      </c>
      <c r="D84" t="s">
        <v>37</v>
      </c>
      <c r="E84" t="s">
        <v>204</v>
      </c>
      <c r="F84" t="s">
        <v>76</v>
      </c>
      <c r="G84">
        <v>2</v>
      </c>
      <c r="H84" t="s">
        <v>161</v>
      </c>
      <c r="I84" t="s">
        <v>162</v>
      </c>
      <c r="J84" t="s">
        <v>42</v>
      </c>
      <c r="K84" t="s">
        <v>163</v>
      </c>
      <c r="L84" t="s">
        <v>164</v>
      </c>
      <c r="M84" t="s">
        <v>54</v>
      </c>
      <c r="N84" t="s">
        <v>46</v>
      </c>
      <c r="O84">
        <v>5</v>
      </c>
      <c r="P84">
        <v>65</v>
      </c>
      <c r="Q84">
        <v>497.6</v>
      </c>
      <c r="R84">
        <v>0</v>
      </c>
      <c r="S84">
        <v>32.620320855614999</v>
      </c>
      <c r="T84">
        <f t="shared" si="1"/>
        <v>0.32620320855614998</v>
      </c>
      <c r="U84" t="s">
        <v>47</v>
      </c>
      <c r="V84" t="s">
        <v>48</v>
      </c>
    </row>
    <row r="85" spans="1:22" x14ac:dyDescent="0.25">
      <c r="A85">
        <v>84</v>
      </c>
      <c r="B85" t="s">
        <v>36</v>
      </c>
      <c r="C85" s="2">
        <v>45638</v>
      </c>
      <c r="D85" t="s">
        <v>37</v>
      </c>
      <c r="E85" t="s">
        <v>78</v>
      </c>
      <c r="F85" t="s">
        <v>76</v>
      </c>
      <c r="G85">
        <v>2</v>
      </c>
      <c r="H85" t="s">
        <v>166</v>
      </c>
      <c r="I85" t="s">
        <v>167</v>
      </c>
      <c r="J85" t="s">
        <v>42</v>
      </c>
      <c r="K85" t="s">
        <v>168</v>
      </c>
      <c r="L85" t="s">
        <v>59</v>
      </c>
      <c r="M85" t="s">
        <v>45</v>
      </c>
      <c r="N85" t="s">
        <v>46</v>
      </c>
      <c r="O85">
        <v>10</v>
      </c>
      <c r="P85">
        <v>90</v>
      </c>
      <c r="Q85">
        <v>404.3</v>
      </c>
      <c r="R85">
        <v>0</v>
      </c>
      <c r="S85">
        <v>55.0976138828633</v>
      </c>
      <c r="T85">
        <f t="shared" si="1"/>
        <v>0.55097613882863294</v>
      </c>
      <c r="U85" t="s">
        <v>47</v>
      </c>
      <c r="V85" t="s">
        <v>48</v>
      </c>
    </row>
    <row r="86" spans="1:22" x14ac:dyDescent="0.25">
      <c r="A86">
        <v>85</v>
      </c>
      <c r="B86" t="s">
        <v>36</v>
      </c>
      <c r="C86" s="2">
        <v>45638</v>
      </c>
      <c r="D86" t="s">
        <v>37</v>
      </c>
      <c r="E86" t="s">
        <v>205</v>
      </c>
      <c r="F86" t="s">
        <v>76</v>
      </c>
      <c r="G86">
        <v>2</v>
      </c>
      <c r="H86" t="s">
        <v>170</v>
      </c>
      <c r="I86" t="s">
        <v>171</v>
      </c>
      <c r="J86" t="s">
        <v>42</v>
      </c>
      <c r="K86" t="s">
        <v>172</v>
      </c>
      <c r="L86" t="s">
        <v>53</v>
      </c>
      <c r="M86" t="s">
        <v>54</v>
      </c>
      <c r="N86" t="s">
        <v>46</v>
      </c>
      <c r="O86">
        <v>120</v>
      </c>
      <c r="P86">
        <v>50</v>
      </c>
      <c r="Q86">
        <v>579.4</v>
      </c>
      <c r="R86">
        <v>0</v>
      </c>
      <c r="S86">
        <v>42.156862745098003</v>
      </c>
      <c r="T86">
        <f t="shared" si="1"/>
        <v>0.42156862745098</v>
      </c>
      <c r="U86" t="s">
        <v>47</v>
      </c>
      <c r="V86" t="s">
        <v>48</v>
      </c>
    </row>
    <row r="87" spans="1:22" x14ac:dyDescent="0.25">
      <c r="A87">
        <v>86</v>
      </c>
      <c r="B87" t="s">
        <v>36</v>
      </c>
      <c r="C87" s="2">
        <v>45638</v>
      </c>
      <c r="D87" t="s">
        <v>37</v>
      </c>
      <c r="E87" t="s">
        <v>80</v>
      </c>
      <c r="F87" t="s">
        <v>76</v>
      </c>
      <c r="G87">
        <v>2</v>
      </c>
      <c r="H87" t="s">
        <v>174</v>
      </c>
      <c r="I87" t="s">
        <v>175</v>
      </c>
      <c r="J87" t="s">
        <v>42</v>
      </c>
      <c r="K87" t="s">
        <v>176</v>
      </c>
      <c r="L87" t="s">
        <v>177</v>
      </c>
      <c r="M87" t="s">
        <v>101</v>
      </c>
      <c r="N87" t="s">
        <v>46</v>
      </c>
      <c r="O87">
        <v>120</v>
      </c>
      <c r="P87">
        <v>90</v>
      </c>
      <c r="Q87">
        <v>338.2</v>
      </c>
      <c r="R87">
        <v>1</v>
      </c>
      <c r="S87">
        <v>31.060606060606101</v>
      </c>
      <c r="T87">
        <f t="shared" si="1"/>
        <v>0.310606060606061</v>
      </c>
      <c r="U87" t="s">
        <v>47</v>
      </c>
      <c r="V87" t="s">
        <v>48</v>
      </c>
    </row>
    <row r="88" spans="1:22" x14ac:dyDescent="0.25">
      <c r="A88">
        <v>87</v>
      </c>
      <c r="B88" t="s">
        <v>36</v>
      </c>
      <c r="C88" s="2">
        <v>45638</v>
      </c>
      <c r="D88" t="s">
        <v>37</v>
      </c>
      <c r="E88" t="s">
        <v>81</v>
      </c>
      <c r="F88" t="s">
        <v>76</v>
      </c>
      <c r="G88">
        <v>2</v>
      </c>
      <c r="H88" t="s">
        <v>178</v>
      </c>
      <c r="I88" t="s">
        <v>179</v>
      </c>
      <c r="J88" t="s">
        <v>42</v>
      </c>
      <c r="K88" t="s">
        <v>180</v>
      </c>
      <c r="L88" t="s">
        <v>59</v>
      </c>
      <c r="M88" t="s">
        <v>101</v>
      </c>
      <c r="N88" t="s">
        <v>46</v>
      </c>
      <c r="O88">
        <v>120</v>
      </c>
      <c r="P88">
        <v>75</v>
      </c>
      <c r="Q88">
        <v>465.8</v>
      </c>
      <c r="R88">
        <v>1</v>
      </c>
      <c r="S88">
        <v>61.7521367521367</v>
      </c>
      <c r="T88">
        <f t="shared" si="1"/>
        <v>0.61752136752136699</v>
      </c>
      <c r="U88" t="s">
        <v>47</v>
      </c>
      <c r="V88" t="s">
        <v>48</v>
      </c>
    </row>
    <row r="89" spans="1:22" x14ac:dyDescent="0.25">
      <c r="A89">
        <v>88</v>
      </c>
      <c r="B89" t="s">
        <v>36</v>
      </c>
      <c r="C89" s="2">
        <v>45638</v>
      </c>
      <c r="D89" t="s">
        <v>37</v>
      </c>
      <c r="E89" t="s">
        <v>206</v>
      </c>
      <c r="F89" t="s">
        <v>76</v>
      </c>
      <c r="G89">
        <v>2</v>
      </c>
      <c r="H89" t="s">
        <v>182</v>
      </c>
      <c r="I89" t="s">
        <v>183</v>
      </c>
      <c r="J89" t="s">
        <v>42</v>
      </c>
      <c r="K89" t="s">
        <v>184</v>
      </c>
      <c r="L89" t="s">
        <v>185</v>
      </c>
      <c r="M89" t="s">
        <v>101</v>
      </c>
      <c r="N89" t="s">
        <v>46</v>
      </c>
      <c r="O89">
        <v>50</v>
      </c>
      <c r="P89">
        <v>60</v>
      </c>
      <c r="Q89">
        <v>409.8</v>
      </c>
      <c r="R89">
        <v>0</v>
      </c>
      <c r="S89">
        <v>53.3234859675037</v>
      </c>
      <c r="T89">
        <f t="shared" si="1"/>
        <v>0.53323485967503703</v>
      </c>
      <c r="U89" t="s">
        <v>47</v>
      </c>
      <c r="V89" t="s">
        <v>48</v>
      </c>
    </row>
    <row r="90" spans="1:22" x14ac:dyDescent="0.25">
      <c r="A90">
        <v>89</v>
      </c>
      <c r="B90" t="s">
        <v>36</v>
      </c>
      <c r="C90" s="2">
        <v>45638</v>
      </c>
      <c r="D90" t="s">
        <v>37</v>
      </c>
      <c r="E90" t="s">
        <v>207</v>
      </c>
      <c r="F90" t="s">
        <v>76</v>
      </c>
      <c r="G90">
        <v>2</v>
      </c>
      <c r="H90" t="s">
        <v>186</v>
      </c>
      <c r="I90" t="s">
        <v>187</v>
      </c>
      <c r="J90" t="s">
        <v>42</v>
      </c>
      <c r="K90" t="s">
        <v>188</v>
      </c>
      <c r="L90" t="s">
        <v>53</v>
      </c>
      <c r="M90" t="s">
        <v>45</v>
      </c>
      <c r="N90" t="s">
        <v>46</v>
      </c>
      <c r="O90">
        <v>120</v>
      </c>
      <c r="P90">
        <v>95</v>
      </c>
      <c r="Q90">
        <v>258</v>
      </c>
      <c r="R90">
        <v>1</v>
      </c>
      <c r="S90">
        <v>63.3217993079585</v>
      </c>
      <c r="T90">
        <f t="shared" si="1"/>
        <v>0.63321799307958504</v>
      </c>
      <c r="U90" t="s">
        <v>47</v>
      </c>
      <c r="V90" t="s">
        <v>48</v>
      </c>
    </row>
    <row r="91" spans="1:22" x14ac:dyDescent="0.25">
      <c r="A91">
        <v>90</v>
      </c>
      <c r="B91" t="s">
        <v>36</v>
      </c>
      <c r="C91" s="2">
        <v>45638</v>
      </c>
      <c r="D91" t="s">
        <v>37</v>
      </c>
      <c r="E91" t="s">
        <v>208</v>
      </c>
      <c r="F91" t="s">
        <v>76</v>
      </c>
      <c r="G91">
        <v>2</v>
      </c>
      <c r="H91" t="s">
        <v>190</v>
      </c>
      <c r="I91" t="s">
        <v>191</v>
      </c>
      <c r="J91" t="s">
        <v>42</v>
      </c>
      <c r="K91" t="s">
        <v>192</v>
      </c>
      <c r="L91" t="s">
        <v>59</v>
      </c>
      <c r="M91" t="s">
        <v>45</v>
      </c>
      <c r="N91" t="s">
        <v>46</v>
      </c>
      <c r="O91">
        <v>50</v>
      </c>
      <c r="P91">
        <v>95</v>
      </c>
      <c r="Q91">
        <v>193</v>
      </c>
      <c r="R91">
        <v>0</v>
      </c>
      <c r="S91">
        <v>59.559559559559602</v>
      </c>
      <c r="T91">
        <f t="shared" si="1"/>
        <v>0.59559559559559605</v>
      </c>
      <c r="U91" t="s">
        <v>47</v>
      </c>
      <c r="V91" t="s">
        <v>48</v>
      </c>
    </row>
    <row r="92" spans="1:22" x14ac:dyDescent="0.25">
      <c r="A92">
        <v>91</v>
      </c>
      <c r="B92" t="s">
        <v>36</v>
      </c>
      <c r="C92" s="2">
        <v>45638</v>
      </c>
      <c r="D92" t="s">
        <v>37</v>
      </c>
      <c r="E92" t="s">
        <v>209</v>
      </c>
      <c r="F92" t="s">
        <v>76</v>
      </c>
      <c r="G92">
        <v>2</v>
      </c>
      <c r="H92" t="s">
        <v>194</v>
      </c>
      <c r="I92" t="s">
        <v>195</v>
      </c>
      <c r="J92" t="s">
        <v>42</v>
      </c>
      <c r="K92" t="s">
        <v>196</v>
      </c>
      <c r="L92" t="s">
        <v>197</v>
      </c>
      <c r="M92" t="s">
        <v>54</v>
      </c>
      <c r="N92" t="s">
        <v>46</v>
      </c>
      <c r="O92">
        <v>120</v>
      </c>
      <c r="P92">
        <v>95</v>
      </c>
      <c r="Q92">
        <v>355.2</v>
      </c>
      <c r="R92">
        <v>1</v>
      </c>
      <c r="S92">
        <v>88.874172185430496</v>
      </c>
      <c r="T92">
        <f t="shared" si="1"/>
        <v>0.888741721854305</v>
      </c>
      <c r="U92" t="s">
        <v>47</v>
      </c>
      <c r="V92" t="s">
        <v>48</v>
      </c>
    </row>
    <row r="93" spans="1:22" x14ac:dyDescent="0.25">
      <c r="A93">
        <v>92</v>
      </c>
      <c r="B93" t="s">
        <v>36</v>
      </c>
      <c r="C93" s="2">
        <v>45638</v>
      </c>
      <c r="D93" t="s">
        <v>37</v>
      </c>
      <c r="E93" t="s">
        <v>85</v>
      </c>
      <c r="F93" t="s">
        <v>76</v>
      </c>
      <c r="G93">
        <v>2</v>
      </c>
      <c r="H93" t="s">
        <v>199</v>
      </c>
      <c r="I93" t="s">
        <v>200</v>
      </c>
      <c r="J93" t="s">
        <v>42</v>
      </c>
      <c r="K93" t="s">
        <v>201</v>
      </c>
      <c r="L93" t="s">
        <v>59</v>
      </c>
      <c r="M93" t="s">
        <v>45</v>
      </c>
      <c r="N93" t="s">
        <v>46</v>
      </c>
      <c r="O93">
        <v>51</v>
      </c>
      <c r="P93">
        <v>90</v>
      </c>
      <c r="Q93">
        <v>415.2</v>
      </c>
      <c r="R93">
        <v>0</v>
      </c>
      <c r="S93">
        <v>49.7959183673469</v>
      </c>
      <c r="T93">
        <f t="shared" si="1"/>
        <v>0.49795918367346897</v>
      </c>
      <c r="U93" t="s">
        <v>47</v>
      </c>
      <c r="V93" t="s">
        <v>48</v>
      </c>
    </row>
    <row r="94" spans="1:22" x14ac:dyDescent="0.25">
      <c r="A94">
        <v>93</v>
      </c>
      <c r="B94" t="s">
        <v>36</v>
      </c>
      <c r="C94" s="2">
        <v>45638</v>
      </c>
      <c r="D94" t="s">
        <v>37</v>
      </c>
      <c r="E94" t="s">
        <v>210</v>
      </c>
      <c r="F94" t="s">
        <v>76</v>
      </c>
      <c r="G94">
        <v>3</v>
      </c>
      <c r="H94" t="s">
        <v>152</v>
      </c>
      <c r="I94" t="s">
        <v>153</v>
      </c>
      <c r="J94" t="s">
        <v>42</v>
      </c>
      <c r="K94" t="s">
        <v>154</v>
      </c>
      <c r="L94" t="s">
        <v>111</v>
      </c>
      <c r="M94" t="s">
        <v>45</v>
      </c>
      <c r="N94" t="s">
        <v>46</v>
      </c>
      <c r="O94">
        <v>8</v>
      </c>
      <c r="P94">
        <v>15</v>
      </c>
      <c r="Q94">
        <v>582.5</v>
      </c>
      <c r="R94">
        <v>0</v>
      </c>
      <c r="S94">
        <v>40.431266846361197</v>
      </c>
      <c r="T94">
        <f t="shared" si="1"/>
        <v>0.40431266846361197</v>
      </c>
      <c r="U94" t="s">
        <v>47</v>
      </c>
      <c r="V94" t="s">
        <v>48</v>
      </c>
    </row>
    <row r="95" spans="1:22" x14ac:dyDescent="0.25">
      <c r="A95">
        <v>94</v>
      </c>
      <c r="B95" t="s">
        <v>36</v>
      </c>
      <c r="C95" s="2">
        <v>45638</v>
      </c>
      <c r="D95" t="s">
        <v>37</v>
      </c>
      <c r="E95" t="s">
        <v>87</v>
      </c>
      <c r="F95" t="s">
        <v>76</v>
      </c>
      <c r="G95">
        <v>3</v>
      </c>
      <c r="H95" t="s">
        <v>156</v>
      </c>
      <c r="I95" t="s">
        <v>157</v>
      </c>
      <c r="J95" t="s">
        <v>42</v>
      </c>
      <c r="K95" t="s">
        <v>158</v>
      </c>
      <c r="L95" t="s">
        <v>159</v>
      </c>
      <c r="M95" t="s">
        <v>54</v>
      </c>
      <c r="N95" t="s">
        <v>46</v>
      </c>
      <c r="O95">
        <v>120</v>
      </c>
      <c r="P95">
        <v>80</v>
      </c>
      <c r="Q95">
        <v>424.6</v>
      </c>
      <c r="R95">
        <v>0</v>
      </c>
      <c r="S95">
        <v>58.493771234428102</v>
      </c>
      <c r="T95">
        <f t="shared" si="1"/>
        <v>0.58493771234428105</v>
      </c>
      <c r="U95" t="s">
        <v>47</v>
      </c>
      <c r="V95" t="s">
        <v>48</v>
      </c>
    </row>
    <row r="96" spans="1:22" x14ac:dyDescent="0.25">
      <c r="A96">
        <v>95</v>
      </c>
      <c r="B96" t="s">
        <v>36</v>
      </c>
      <c r="C96" s="2">
        <v>45638</v>
      </c>
      <c r="D96" t="s">
        <v>37</v>
      </c>
      <c r="E96" t="s">
        <v>211</v>
      </c>
      <c r="F96" t="s">
        <v>76</v>
      </c>
      <c r="G96">
        <v>3</v>
      </c>
      <c r="H96" t="s">
        <v>161</v>
      </c>
      <c r="I96" t="s">
        <v>162</v>
      </c>
      <c r="J96" t="s">
        <v>42</v>
      </c>
      <c r="K96" t="s">
        <v>163</v>
      </c>
      <c r="L96" t="s">
        <v>164</v>
      </c>
      <c r="M96" t="s">
        <v>54</v>
      </c>
      <c r="N96" t="s">
        <v>46</v>
      </c>
      <c r="O96">
        <v>5</v>
      </c>
      <c r="P96">
        <v>65</v>
      </c>
      <c r="Q96">
        <v>491.6</v>
      </c>
      <c r="R96">
        <v>0</v>
      </c>
      <c r="S96">
        <v>40.3333333333333</v>
      </c>
      <c r="T96">
        <f t="shared" si="1"/>
        <v>0.40333333333333299</v>
      </c>
      <c r="U96" t="s">
        <v>47</v>
      </c>
      <c r="V96" t="s">
        <v>48</v>
      </c>
    </row>
    <row r="97" spans="1:22" x14ac:dyDescent="0.25">
      <c r="A97">
        <v>96</v>
      </c>
      <c r="B97" t="s">
        <v>36</v>
      </c>
      <c r="C97" s="2">
        <v>45638</v>
      </c>
      <c r="D97" t="s">
        <v>37</v>
      </c>
      <c r="E97" t="s">
        <v>212</v>
      </c>
      <c r="F97" t="s">
        <v>76</v>
      </c>
      <c r="G97">
        <v>3</v>
      </c>
      <c r="H97" t="s">
        <v>166</v>
      </c>
      <c r="I97" t="s">
        <v>167</v>
      </c>
      <c r="J97" t="s">
        <v>42</v>
      </c>
      <c r="K97" t="s">
        <v>168</v>
      </c>
      <c r="L97" t="s">
        <v>59</v>
      </c>
      <c r="M97" t="s">
        <v>45</v>
      </c>
      <c r="N97" t="s">
        <v>46</v>
      </c>
      <c r="O97">
        <v>19</v>
      </c>
      <c r="P97">
        <v>80</v>
      </c>
      <c r="Q97">
        <v>494.8</v>
      </c>
      <c r="R97">
        <v>0</v>
      </c>
      <c r="S97">
        <v>67.767767767767793</v>
      </c>
      <c r="T97">
        <f t="shared" si="1"/>
        <v>0.67767767767767795</v>
      </c>
      <c r="U97" t="s">
        <v>47</v>
      </c>
      <c r="V97" t="s">
        <v>48</v>
      </c>
    </row>
    <row r="98" spans="1:22" x14ac:dyDescent="0.25">
      <c r="A98">
        <v>97</v>
      </c>
      <c r="B98" t="s">
        <v>36</v>
      </c>
      <c r="C98" s="2">
        <v>45638</v>
      </c>
      <c r="D98" t="s">
        <v>37</v>
      </c>
      <c r="E98" t="s">
        <v>213</v>
      </c>
      <c r="F98" t="s">
        <v>76</v>
      </c>
      <c r="G98">
        <v>3</v>
      </c>
      <c r="H98" t="s">
        <v>170</v>
      </c>
      <c r="I98" t="s">
        <v>171</v>
      </c>
      <c r="J98" t="s">
        <v>42</v>
      </c>
      <c r="K98" t="s">
        <v>172</v>
      </c>
      <c r="L98" t="s">
        <v>53</v>
      </c>
      <c r="M98" t="s">
        <v>54</v>
      </c>
      <c r="N98" t="s">
        <v>46</v>
      </c>
      <c r="O98">
        <v>120</v>
      </c>
      <c r="P98">
        <v>90</v>
      </c>
      <c r="Q98">
        <v>349.8</v>
      </c>
      <c r="R98">
        <v>1</v>
      </c>
      <c r="S98">
        <v>63.157894736842103</v>
      </c>
      <c r="T98">
        <f t="shared" si="1"/>
        <v>0.63157894736842102</v>
      </c>
      <c r="U98" t="s">
        <v>47</v>
      </c>
      <c r="V98" t="s">
        <v>48</v>
      </c>
    </row>
    <row r="99" spans="1:22" x14ac:dyDescent="0.25">
      <c r="A99">
        <v>98</v>
      </c>
      <c r="B99" t="s">
        <v>36</v>
      </c>
      <c r="C99" s="2">
        <v>45638</v>
      </c>
      <c r="D99" t="s">
        <v>37</v>
      </c>
      <c r="E99" t="s">
        <v>141</v>
      </c>
      <c r="F99" t="s">
        <v>76</v>
      </c>
      <c r="G99">
        <v>3</v>
      </c>
      <c r="H99" t="s">
        <v>174</v>
      </c>
      <c r="I99" t="s">
        <v>175</v>
      </c>
      <c r="J99" t="s">
        <v>42</v>
      </c>
      <c r="K99" t="s">
        <v>176</v>
      </c>
      <c r="L99" t="s">
        <v>177</v>
      </c>
      <c r="M99" t="s">
        <v>101</v>
      </c>
      <c r="N99" t="s">
        <v>46</v>
      </c>
      <c r="O99">
        <v>120</v>
      </c>
      <c r="P99">
        <v>75</v>
      </c>
      <c r="Q99">
        <v>365</v>
      </c>
      <c r="R99">
        <v>1</v>
      </c>
      <c r="S99">
        <v>61.038961038960998</v>
      </c>
      <c r="T99">
        <f t="shared" si="1"/>
        <v>0.61038961038961004</v>
      </c>
      <c r="U99" t="s">
        <v>47</v>
      </c>
      <c r="V99" t="s">
        <v>48</v>
      </c>
    </row>
    <row r="100" spans="1:22" x14ac:dyDescent="0.25">
      <c r="A100">
        <v>99</v>
      </c>
      <c r="B100" t="s">
        <v>36</v>
      </c>
      <c r="C100" s="2">
        <v>45638</v>
      </c>
      <c r="D100" t="s">
        <v>37</v>
      </c>
      <c r="E100" t="s">
        <v>214</v>
      </c>
      <c r="F100" t="s">
        <v>76</v>
      </c>
      <c r="G100">
        <v>3</v>
      </c>
      <c r="H100" t="s">
        <v>178</v>
      </c>
      <c r="I100" t="s">
        <v>179</v>
      </c>
      <c r="J100" t="s">
        <v>42</v>
      </c>
      <c r="K100" t="s">
        <v>180</v>
      </c>
      <c r="L100" t="s">
        <v>59</v>
      </c>
      <c r="M100" t="s">
        <v>101</v>
      </c>
      <c r="N100" t="s">
        <v>46</v>
      </c>
      <c r="O100">
        <v>91</v>
      </c>
      <c r="P100">
        <v>15</v>
      </c>
      <c r="Q100">
        <v>652.5</v>
      </c>
      <c r="R100">
        <v>0</v>
      </c>
      <c r="S100">
        <v>53.005008347245401</v>
      </c>
      <c r="T100">
        <f t="shared" si="1"/>
        <v>0.53005008347245397</v>
      </c>
      <c r="U100" t="s">
        <v>47</v>
      </c>
      <c r="V100" t="s">
        <v>48</v>
      </c>
    </row>
    <row r="101" spans="1:22" x14ac:dyDescent="0.25">
      <c r="A101">
        <v>100</v>
      </c>
      <c r="B101" t="s">
        <v>36</v>
      </c>
      <c r="C101" s="2">
        <v>45638</v>
      </c>
      <c r="D101" t="s">
        <v>37</v>
      </c>
      <c r="E101" t="s">
        <v>215</v>
      </c>
      <c r="F101" t="s">
        <v>76</v>
      </c>
      <c r="G101">
        <v>3</v>
      </c>
      <c r="H101" t="s">
        <v>182</v>
      </c>
      <c r="I101" t="s">
        <v>183</v>
      </c>
      <c r="J101" t="s">
        <v>42</v>
      </c>
      <c r="K101" t="s">
        <v>184</v>
      </c>
      <c r="L101" t="s">
        <v>185</v>
      </c>
      <c r="M101" t="s">
        <v>101</v>
      </c>
      <c r="N101" t="s">
        <v>46</v>
      </c>
      <c r="O101">
        <v>56</v>
      </c>
      <c r="P101">
        <v>85</v>
      </c>
      <c r="Q101">
        <v>298.7</v>
      </c>
      <c r="R101">
        <v>0</v>
      </c>
      <c r="S101">
        <v>52.123995407577503</v>
      </c>
      <c r="T101">
        <f t="shared" si="1"/>
        <v>0.52123995407577506</v>
      </c>
      <c r="U101" t="s">
        <v>47</v>
      </c>
      <c r="V101" t="s">
        <v>48</v>
      </c>
    </row>
    <row r="102" spans="1:22" x14ac:dyDescent="0.25">
      <c r="A102">
        <v>101</v>
      </c>
      <c r="B102" t="s">
        <v>36</v>
      </c>
      <c r="C102" s="2">
        <v>45638</v>
      </c>
      <c r="D102" t="s">
        <v>37</v>
      </c>
      <c r="E102" t="s">
        <v>216</v>
      </c>
      <c r="F102" t="s">
        <v>76</v>
      </c>
      <c r="G102">
        <v>3</v>
      </c>
      <c r="H102" t="s">
        <v>186</v>
      </c>
      <c r="I102" t="s">
        <v>187</v>
      </c>
      <c r="J102" t="s">
        <v>42</v>
      </c>
      <c r="K102" t="s">
        <v>188</v>
      </c>
      <c r="L102" t="s">
        <v>53</v>
      </c>
      <c r="M102" t="s">
        <v>45</v>
      </c>
      <c r="N102" t="s">
        <v>46</v>
      </c>
      <c r="O102">
        <v>30</v>
      </c>
      <c r="P102">
        <v>75</v>
      </c>
      <c r="Q102">
        <v>421.7</v>
      </c>
      <c r="R102">
        <v>0</v>
      </c>
      <c r="S102">
        <v>48.432055749128899</v>
      </c>
      <c r="T102">
        <f t="shared" si="1"/>
        <v>0.48432055749128899</v>
      </c>
      <c r="U102" t="s">
        <v>47</v>
      </c>
      <c r="V102" t="s">
        <v>48</v>
      </c>
    </row>
    <row r="103" spans="1:22" x14ac:dyDescent="0.25">
      <c r="A103">
        <v>102</v>
      </c>
      <c r="B103" t="s">
        <v>36</v>
      </c>
      <c r="C103" s="2">
        <v>45638</v>
      </c>
      <c r="D103" t="s">
        <v>37</v>
      </c>
      <c r="E103" t="s">
        <v>93</v>
      </c>
      <c r="F103" t="s">
        <v>76</v>
      </c>
      <c r="G103">
        <v>3</v>
      </c>
      <c r="H103" t="s">
        <v>190</v>
      </c>
      <c r="I103" t="s">
        <v>191</v>
      </c>
      <c r="J103" t="s">
        <v>42</v>
      </c>
      <c r="K103" t="s">
        <v>192</v>
      </c>
      <c r="L103" t="s">
        <v>59</v>
      </c>
      <c r="M103" t="s">
        <v>45</v>
      </c>
      <c r="N103" t="s">
        <v>46</v>
      </c>
      <c r="O103">
        <v>120</v>
      </c>
      <c r="P103">
        <v>65</v>
      </c>
      <c r="Q103">
        <v>445.7</v>
      </c>
      <c r="R103">
        <v>0</v>
      </c>
      <c r="S103">
        <v>52.028639618138399</v>
      </c>
      <c r="T103">
        <f t="shared" si="1"/>
        <v>0.52028639618138395</v>
      </c>
      <c r="U103" t="s">
        <v>47</v>
      </c>
      <c r="V103" t="s">
        <v>48</v>
      </c>
    </row>
    <row r="104" spans="1:22" x14ac:dyDescent="0.25">
      <c r="A104">
        <v>103</v>
      </c>
      <c r="B104" t="s">
        <v>36</v>
      </c>
      <c r="C104" s="2">
        <v>45638</v>
      </c>
      <c r="D104" t="s">
        <v>37</v>
      </c>
      <c r="E104" t="s">
        <v>143</v>
      </c>
      <c r="F104" t="s">
        <v>76</v>
      </c>
      <c r="G104">
        <v>3</v>
      </c>
      <c r="H104" t="s">
        <v>194</v>
      </c>
      <c r="I104" t="s">
        <v>195</v>
      </c>
      <c r="J104" t="s">
        <v>42</v>
      </c>
      <c r="K104" t="s">
        <v>196</v>
      </c>
      <c r="L104" t="s">
        <v>197</v>
      </c>
      <c r="M104" t="s">
        <v>54</v>
      </c>
      <c r="N104" t="s">
        <v>46</v>
      </c>
      <c r="O104">
        <v>120</v>
      </c>
      <c r="P104">
        <v>95</v>
      </c>
      <c r="Q104">
        <v>337.6</v>
      </c>
      <c r="R104">
        <v>1</v>
      </c>
      <c r="S104">
        <v>86.075949367088597</v>
      </c>
      <c r="T104">
        <f t="shared" si="1"/>
        <v>0.860759493670886</v>
      </c>
      <c r="U104" t="s">
        <v>47</v>
      </c>
      <c r="V104" t="s">
        <v>48</v>
      </c>
    </row>
    <row r="105" spans="1:22" x14ac:dyDescent="0.25">
      <c r="A105">
        <v>104</v>
      </c>
      <c r="B105" t="s">
        <v>36</v>
      </c>
      <c r="C105" s="2">
        <v>45638</v>
      </c>
      <c r="D105" t="s">
        <v>37</v>
      </c>
      <c r="E105" t="s">
        <v>94</v>
      </c>
      <c r="F105" t="s">
        <v>76</v>
      </c>
      <c r="G105">
        <v>3</v>
      </c>
      <c r="H105" t="s">
        <v>199</v>
      </c>
      <c r="I105" t="s">
        <v>200</v>
      </c>
      <c r="J105" t="s">
        <v>42</v>
      </c>
      <c r="K105" t="s">
        <v>201</v>
      </c>
      <c r="L105" t="s">
        <v>59</v>
      </c>
      <c r="M105" t="s">
        <v>45</v>
      </c>
      <c r="N105" t="s">
        <v>46</v>
      </c>
      <c r="O105">
        <v>120</v>
      </c>
      <c r="P105">
        <v>95</v>
      </c>
      <c r="Q105">
        <v>170.2</v>
      </c>
      <c r="R105">
        <v>1</v>
      </c>
      <c r="S105">
        <v>83.7182448036952</v>
      </c>
      <c r="T105">
        <f t="shared" si="1"/>
        <v>0.83718244803695196</v>
      </c>
      <c r="U105" t="s">
        <v>47</v>
      </c>
      <c r="V105" t="s">
        <v>48</v>
      </c>
    </row>
    <row r="106" spans="1:22" x14ac:dyDescent="0.25">
      <c r="A106">
        <v>105</v>
      </c>
      <c r="B106" t="s">
        <v>217</v>
      </c>
      <c r="C106" s="2">
        <v>43186</v>
      </c>
      <c r="D106" t="s">
        <v>37</v>
      </c>
      <c r="F106" t="s">
        <v>39</v>
      </c>
      <c r="G106">
        <v>1</v>
      </c>
      <c r="H106" t="s">
        <v>218</v>
      </c>
      <c r="I106" t="s">
        <v>219</v>
      </c>
      <c r="J106" t="s">
        <v>42</v>
      </c>
      <c r="K106" t="s">
        <v>220</v>
      </c>
      <c r="L106" t="s">
        <v>44</v>
      </c>
      <c r="M106" t="s">
        <v>45</v>
      </c>
      <c r="N106" t="s">
        <v>46</v>
      </c>
      <c r="O106">
        <v>46</v>
      </c>
      <c r="P106">
        <v>75</v>
      </c>
      <c r="Q106">
        <v>570.4</v>
      </c>
      <c r="R106">
        <v>0</v>
      </c>
      <c r="S106">
        <v>47.572880690236197</v>
      </c>
      <c r="T106">
        <f t="shared" si="1"/>
        <v>0.47572880690236197</v>
      </c>
      <c r="U106" t="s">
        <v>221</v>
      </c>
      <c r="V106" t="s">
        <v>48</v>
      </c>
    </row>
    <row r="107" spans="1:22" x14ac:dyDescent="0.25">
      <c r="A107">
        <v>106</v>
      </c>
      <c r="B107" t="s">
        <v>217</v>
      </c>
      <c r="C107" s="2">
        <v>43186</v>
      </c>
      <c r="D107" t="s">
        <v>37</v>
      </c>
      <c r="F107" t="s">
        <v>39</v>
      </c>
      <c r="G107">
        <v>1</v>
      </c>
      <c r="H107" t="s">
        <v>222</v>
      </c>
      <c r="I107" t="s">
        <v>223</v>
      </c>
      <c r="J107" t="s">
        <v>42</v>
      </c>
      <c r="K107" t="s">
        <v>224</v>
      </c>
      <c r="L107" t="s">
        <v>225</v>
      </c>
      <c r="M107" t="s">
        <v>45</v>
      </c>
      <c r="N107" t="s">
        <v>46</v>
      </c>
      <c r="O107">
        <v>74</v>
      </c>
      <c r="P107">
        <v>58.3333333333333</v>
      </c>
      <c r="Q107">
        <v>510.8</v>
      </c>
      <c r="R107">
        <v>0</v>
      </c>
      <c r="S107">
        <v>54.4956827293285</v>
      </c>
      <c r="T107">
        <f t="shared" si="1"/>
        <v>0.54495682729328498</v>
      </c>
      <c r="U107" t="s">
        <v>221</v>
      </c>
      <c r="V107" t="s">
        <v>48</v>
      </c>
    </row>
    <row r="108" spans="1:22" x14ac:dyDescent="0.25">
      <c r="A108">
        <v>107</v>
      </c>
      <c r="B108" t="s">
        <v>217</v>
      </c>
      <c r="C108" s="2">
        <v>43186</v>
      </c>
      <c r="D108" t="s">
        <v>37</v>
      </c>
      <c r="F108" t="s">
        <v>39</v>
      </c>
      <c r="G108">
        <v>1</v>
      </c>
      <c r="H108" t="s">
        <v>226</v>
      </c>
      <c r="I108" t="s">
        <v>227</v>
      </c>
      <c r="J108" t="s">
        <v>42</v>
      </c>
      <c r="K108" t="s">
        <v>228</v>
      </c>
      <c r="L108" t="s">
        <v>225</v>
      </c>
      <c r="M108" t="s">
        <v>45</v>
      </c>
      <c r="N108" t="s">
        <v>46</v>
      </c>
      <c r="O108">
        <v>120</v>
      </c>
      <c r="P108">
        <v>84.375</v>
      </c>
      <c r="Q108">
        <v>626.29999999999995</v>
      </c>
      <c r="R108">
        <v>1</v>
      </c>
      <c r="S108">
        <v>45.891163862661301</v>
      </c>
      <c r="T108">
        <f t="shared" si="1"/>
        <v>0.45891163862661299</v>
      </c>
      <c r="U108" t="s">
        <v>221</v>
      </c>
      <c r="V108" t="s">
        <v>48</v>
      </c>
    </row>
    <row r="109" spans="1:22" x14ac:dyDescent="0.25">
      <c r="A109">
        <v>108</v>
      </c>
      <c r="B109" t="s">
        <v>217</v>
      </c>
      <c r="C109" s="2">
        <v>43186</v>
      </c>
      <c r="D109" t="s">
        <v>37</v>
      </c>
      <c r="F109" t="s">
        <v>39</v>
      </c>
      <c r="G109">
        <v>1</v>
      </c>
      <c r="H109" t="s">
        <v>229</v>
      </c>
      <c r="I109" t="s">
        <v>230</v>
      </c>
      <c r="J109" t="s">
        <v>42</v>
      </c>
      <c r="K109" t="s">
        <v>231</v>
      </c>
      <c r="L109" t="s">
        <v>232</v>
      </c>
      <c r="M109" t="s">
        <v>45</v>
      </c>
      <c r="N109" t="s">
        <v>46</v>
      </c>
      <c r="O109">
        <v>120</v>
      </c>
      <c r="P109">
        <v>27.272727272727298</v>
      </c>
      <c r="Q109">
        <v>204.3</v>
      </c>
      <c r="R109">
        <v>1</v>
      </c>
      <c r="S109">
        <v>49.065871446294999</v>
      </c>
      <c r="T109">
        <f t="shared" si="1"/>
        <v>0.49065871446295001</v>
      </c>
      <c r="U109" t="s">
        <v>221</v>
      </c>
      <c r="V109" t="s">
        <v>48</v>
      </c>
    </row>
    <row r="110" spans="1:22" x14ac:dyDescent="0.25">
      <c r="A110">
        <v>109</v>
      </c>
      <c r="B110" t="s">
        <v>217</v>
      </c>
      <c r="C110" s="2">
        <v>43186</v>
      </c>
      <c r="D110" t="s">
        <v>37</v>
      </c>
      <c r="F110" t="s">
        <v>39</v>
      </c>
      <c r="G110">
        <v>1</v>
      </c>
      <c r="H110" t="s">
        <v>233</v>
      </c>
      <c r="I110" t="s">
        <v>234</v>
      </c>
      <c r="J110" t="s">
        <v>42</v>
      </c>
      <c r="K110" t="s">
        <v>235</v>
      </c>
      <c r="L110" t="s">
        <v>232</v>
      </c>
      <c r="M110" t="s">
        <v>45</v>
      </c>
      <c r="N110" t="s">
        <v>46</v>
      </c>
      <c r="O110">
        <v>120</v>
      </c>
      <c r="P110">
        <v>51.162790697674403</v>
      </c>
      <c r="Q110">
        <v>453.7</v>
      </c>
      <c r="R110">
        <v>1</v>
      </c>
      <c r="S110">
        <v>61.823895940596003</v>
      </c>
      <c r="T110">
        <f t="shared" si="1"/>
        <v>0.61823895940596008</v>
      </c>
      <c r="U110" t="s">
        <v>221</v>
      </c>
      <c r="V110" t="s">
        <v>48</v>
      </c>
    </row>
    <row r="111" spans="1:22" x14ac:dyDescent="0.25">
      <c r="A111">
        <v>110</v>
      </c>
      <c r="B111" t="s">
        <v>217</v>
      </c>
      <c r="C111" s="2">
        <v>43186</v>
      </c>
      <c r="D111" t="s">
        <v>37</v>
      </c>
      <c r="F111" t="s">
        <v>39</v>
      </c>
      <c r="G111">
        <v>1</v>
      </c>
      <c r="H111" t="s">
        <v>236</v>
      </c>
      <c r="I111" t="s">
        <v>237</v>
      </c>
      <c r="J111" t="s">
        <v>42</v>
      </c>
      <c r="K111" t="s">
        <v>238</v>
      </c>
      <c r="L111" t="s">
        <v>239</v>
      </c>
      <c r="M111" t="s">
        <v>45</v>
      </c>
      <c r="N111" t="s">
        <v>46</v>
      </c>
      <c r="O111">
        <v>120</v>
      </c>
      <c r="P111">
        <v>44.827586206896598</v>
      </c>
      <c r="Q111">
        <v>185.6</v>
      </c>
      <c r="R111">
        <v>1</v>
      </c>
      <c r="S111">
        <v>46.708015005208203</v>
      </c>
      <c r="T111">
        <f t="shared" si="1"/>
        <v>0.46708015005208203</v>
      </c>
      <c r="U111" t="s">
        <v>221</v>
      </c>
      <c r="V111" t="s">
        <v>48</v>
      </c>
    </row>
    <row r="112" spans="1:22" x14ac:dyDescent="0.25">
      <c r="A112">
        <v>111</v>
      </c>
      <c r="B112" t="s">
        <v>217</v>
      </c>
      <c r="C112" s="2">
        <v>43186</v>
      </c>
      <c r="D112" t="s">
        <v>37</v>
      </c>
      <c r="F112" t="s">
        <v>39</v>
      </c>
      <c r="G112">
        <v>1</v>
      </c>
      <c r="H112" t="s">
        <v>240</v>
      </c>
      <c r="I112" t="s">
        <v>241</v>
      </c>
      <c r="J112" t="s">
        <v>42</v>
      </c>
      <c r="K112" t="s">
        <v>242</v>
      </c>
      <c r="L112" t="s">
        <v>111</v>
      </c>
      <c r="M112" t="s">
        <v>45</v>
      </c>
      <c r="N112" t="s">
        <v>46</v>
      </c>
      <c r="O112">
        <v>10</v>
      </c>
      <c r="P112">
        <v>72.307692307692307</v>
      </c>
      <c r="Q112">
        <v>616.4</v>
      </c>
      <c r="R112">
        <v>0</v>
      </c>
      <c r="S112">
        <v>51.7757046320651</v>
      </c>
      <c r="T112">
        <f t="shared" si="1"/>
        <v>0.517757046320651</v>
      </c>
      <c r="U112" t="s">
        <v>221</v>
      </c>
      <c r="V112" t="s">
        <v>48</v>
      </c>
    </row>
    <row r="113" spans="1:22" x14ac:dyDescent="0.25">
      <c r="A113">
        <v>112</v>
      </c>
      <c r="B113" t="s">
        <v>217</v>
      </c>
      <c r="C113" s="2">
        <v>43186</v>
      </c>
      <c r="D113" t="s">
        <v>37</v>
      </c>
      <c r="F113" t="s">
        <v>39</v>
      </c>
      <c r="G113">
        <v>1</v>
      </c>
      <c r="H113" t="s">
        <v>243</v>
      </c>
      <c r="I113" t="s">
        <v>244</v>
      </c>
      <c r="J113" t="s">
        <v>42</v>
      </c>
      <c r="K113" t="s">
        <v>245</v>
      </c>
      <c r="L113" t="s">
        <v>246</v>
      </c>
      <c r="M113" t="s">
        <v>45</v>
      </c>
      <c r="N113" t="s">
        <v>46</v>
      </c>
      <c r="O113">
        <v>120</v>
      </c>
      <c r="P113">
        <v>75.925925925925895</v>
      </c>
      <c r="Q113">
        <v>229</v>
      </c>
      <c r="R113">
        <v>1</v>
      </c>
      <c r="S113">
        <v>42.588449808086601</v>
      </c>
      <c r="T113">
        <f t="shared" si="1"/>
        <v>0.42588449808086604</v>
      </c>
      <c r="U113" t="s">
        <v>221</v>
      </c>
      <c r="V113" t="s">
        <v>48</v>
      </c>
    </row>
    <row r="114" spans="1:22" x14ac:dyDescent="0.25">
      <c r="A114">
        <v>113</v>
      </c>
      <c r="B114" t="s">
        <v>217</v>
      </c>
      <c r="C114" s="2">
        <v>43186</v>
      </c>
      <c r="D114" t="s">
        <v>37</v>
      </c>
      <c r="F114" t="s">
        <v>39</v>
      </c>
      <c r="G114">
        <v>1</v>
      </c>
      <c r="H114" t="s">
        <v>247</v>
      </c>
      <c r="I114" t="s">
        <v>248</v>
      </c>
      <c r="J114" t="s">
        <v>42</v>
      </c>
      <c r="K114" t="s">
        <v>249</v>
      </c>
      <c r="L114" t="s">
        <v>250</v>
      </c>
      <c r="M114" t="s">
        <v>45</v>
      </c>
      <c r="N114" t="s">
        <v>46</v>
      </c>
      <c r="O114">
        <v>120</v>
      </c>
      <c r="P114">
        <v>38.461538461538503</v>
      </c>
      <c r="Q114">
        <v>208.3</v>
      </c>
      <c r="R114">
        <v>1</v>
      </c>
      <c r="S114">
        <v>56.9900131448954</v>
      </c>
      <c r="T114">
        <f t="shared" si="1"/>
        <v>0.56990013144895402</v>
      </c>
      <c r="U114" t="s">
        <v>221</v>
      </c>
      <c r="V114" t="s">
        <v>48</v>
      </c>
    </row>
    <row r="115" spans="1:22" x14ac:dyDescent="0.25">
      <c r="A115">
        <v>114</v>
      </c>
      <c r="B115" t="s">
        <v>217</v>
      </c>
      <c r="C115" s="2">
        <v>43186</v>
      </c>
      <c r="D115" t="s">
        <v>37</v>
      </c>
      <c r="F115" t="s">
        <v>39</v>
      </c>
      <c r="G115">
        <v>21</v>
      </c>
      <c r="H115" t="s">
        <v>251</v>
      </c>
      <c r="I115" t="s">
        <v>252</v>
      </c>
      <c r="J115" t="s">
        <v>42</v>
      </c>
      <c r="K115" t="s">
        <v>253</v>
      </c>
      <c r="L115" t="s">
        <v>59</v>
      </c>
      <c r="M115" t="s">
        <v>45</v>
      </c>
      <c r="N115" t="s">
        <v>46</v>
      </c>
      <c r="O115">
        <v>120</v>
      </c>
      <c r="P115">
        <v>32.841328413284103</v>
      </c>
      <c r="Q115">
        <v>97.8</v>
      </c>
      <c r="R115">
        <v>1</v>
      </c>
      <c r="S115">
        <v>49.422980141393701</v>
      </c>
      <c r="T115">
        <f t="shared" si="1"/>
        <v>0.49422980141393702</v>
      </c>
      <c r="U115" t="s">
        <v>221</v>
      </c>
      <c r="V115" t="s">
        <v>48</v>
      </c>
    </row>
    <row r="116" spans="1:22" x14ac:dyDescent="0.25">
      <c r="A116">
        <v>115</v>
      </c>
      <c r="B116" t="s">
        <v>217</v>
      </c>
      <c r="C116" s="2">
        <v>43186</v>
      </c>
      <c r="D116" t="s">
        <v>37</v>
      </c>
      <c r="F116" t="s">
        <v>39</v>
      </c>
      <c r="G116">
        <v>1</v>
      </c>
      <c r="H116" t="s">
        <v>254</v>
      </c>
      <c r="I116" t="s">
        <v>255</v>
      </c>
      <c r="J116" t="s">
        <v>42</v>
      </c>
      <c r="K116" t="s">
        <v>256</v>
      </c>
      <c r="L116" t="s">
        <v>177</v>
      </c>
      <c r="M116" t="s">
        <v>101</v>
      </c>
      <c r="N116" t="s">
        <v>257</v>
      </c>
      <c r="O116">
        <v>120</v>
      </c>
      <c r="P116">
        <v>13.5135135135135</v>
      </c>
      <c r="Q116">
        <v>466.1</v>
      </c>
      <c r="R116">
        <v>1</v>
      </c>
      <c r="S116">
        <v>52.1968502129642</v>
      </c>
      <c r="T116">
        <f t="shared" si="1"/>
        <v>0.52196850212964196</v>
      </c>
      <c r="U116" t="s">
        <v>221</v>
      </c>
      <c r="V116" t="s">
        <v>48</v>
      </c>
    </row>
    <row r="117" spans="1:22" x14ac:dyDescent="0.25">
      <c r="A117">
        <v>116</v>
      </c>
      <c r="B117" t="s">
        <v>217</v>
      </c>
      <c r="C117" s="2">
        <v>43186</v>
      </c>
      <c r="D117" t="s">
        <v>37</v>
      </c>
      <c r="F117" t="s">
        <v>39</v>
      </c>
      <c r="G117">
        <v>1</v>
      </c>
      <c r="H117" t="s">
        <v>258</v>
      </c>
      <c r="I117" t="s">
        <v>259</v>
      </c>
      <c r="J117" t="s">
        <v>42</v>
      </c>
      <c r="K117" t="s">
        <v>260</v>
      </c>
      <c r="L117" t="s">
        <v>261</v>
      </c>
      <c r="M117" t="s">
        <v>45</v>
      </c>
      <c r="N117" t="s">
        <v>257</v>
      </c>
      <c r="O117">
        <v>70</v>
      </c>
      <c r="P117">
        <v>62.121212121212103</v>
      </c>
      <c r="Q117">
        <v>207</v>
      </c>
      <c r="R117">
        <v>0</v>
      </c>
      <c r="S117">
        <v>48.970741773048999</v>
      </c>
      <c r="T117">
        <f t="shared" si="1"/>
        <v>0.48970741773048998</v>
      </c>
      <c r="U117" t="s">
        <v>221</v>
      </c>
      <c r="V117" t="s">
        <v>48</v>
      </c>
    </row>
    <row r="118" spans="1:22" x14ac:dyDescent="0.25">
      <c r="A118">
        <v>117</v>
      </c>
      <c r="B118" t="s">
        <v>217</v>
      </c>
      <c r="C118" s="2">
        <v>43186</v>
      </c>
      <c r="D118" t="s">
        <v>37</v>
      </c>
      <c r="F118" t="s">
        <v>39</v>
      </c>
      <c r="G118">
        <v>1</v>
      </c>
      <c r="H118" t="s">
        <v>262</v>
      </c>
      <c r="I118" t="s">
        <v>263</v>
      </c>
      <c r="J118" t="s">
        <v>42</v>
      </c>
      <c r="K118" t="s">
        <v>264</v>
      </c>
      <c r="L118" t="s">
        <v>111</v>
      </c>
      <c r="M118" t="s">
        <v>101</v>
      </c>
      <c r="N118" t="s">
        <v>257</v>
      </c>
      <c r="O118">
        <v>38</v>
      </c>
      <c r="P118">
        <v>37.5</v>
      </c>
      <c r="Q118">
        <v>598.9</v>
      </c>
      <c r="R118">
        <v>0</v>
      </c>
      <c r="S118">
        <v>49.554963813111598</v>
      </c>
      <c r="T118">
        <f t="shared" si="1"/>
        <v>0.49554963813111597</v>
      </c>
      <c r="U118" t="s">
        <v>221</v>
      </c>
      <c r="V118" t="s">
        <v>48</v>
      </c>
    </row>
    <row r="119" spans="1:22" x14ac:dyDescent="0.25">
      <c r="A119">
        <v>118</v>
      </c>
      <c r="B119" t="s">
        <v>217</v>
      </c>
      <c r="C119" s="2">
        <v>43186</v>
      </c>
      <c r="D119" t="s">
        <v>37</v>
      </c>
      <c r="F119" t="s">
        <v>39</v>
      </c>
      <c r="G119">
        <v>1</v>
      </c>
      <c r="H119" t="s">
        <v>265</v>
      </c>
      <c r="I119" t="s">
        <v>266</v>
      </c>
      <c r="J119" t="s">
        <v>42</v>
      </c>
      <c r="K119" t="s">
        <v>267</v>
      </c>
      <c r="L119" t="s">
        <v>268</v>
      </c>
      <c r="M119" t="s">
        <v>45</v>
      </c>
      <c r="N119" t="s">
        <v>257</v>
      </c>
      <c r="O119">
        <v>120</v>
      </c>
      <c r="P119">
        <v>38.255033557047</v>
      </c>
      <c r="Q119">
        <v>171.1</v>
      </c>
      <c r="R119">
        <v>1</v>
      </c>
      <c r="S119">
        <v>54.2205839541584</v>
      </c>
      <c r="T119">
        <f t="shared" si="1"/>
        <v>0.54220583954158397</v>
      </c>
      <c r="U119" t="s">
        <v>221</v>
      </c>
      <c r="V119" t="s">
        <v>48</v>
      </c>
    </row>
    <row r="120" spans="1:22" x14ac:dyDescent="0.25">
      <c r="A120">
        <v>119</v>
      </c>
      <c r="B120" t="s">
        <v>217</v>
      </c>
      <c r="C120" s="2">
        <v>43186</v>
      </c>
      <c r="D120" t="s">
        <v>37</v>
      </c>
      <c r="F120" t="s">
        <v>39</v>
      </c>
      <c r="G120">
        <v>1</v>
      </c>
      <c r="H120" t="s">
        <v>269</v>
      </c>
      <c r="I120" t="s">
        <v>270</v>
      </c>
      <c r="J120" t="s">
        <v>42</v>
      </c>
      <c r="K120" t="s">
        <v>271</v>
      </c>
      <c r="L120" t="s">
        <v>111</v>
      </c>
      <c r="M120" t="s">
        <v>45</v>
      </c>
      <c r="N120" t="s">
        <v>257</v>
      </c>
      <c r="O120">
        <v>120</v>
      </c>
      <c r="P120">
        <v>23.214285714285701</v>
      </c>
      <c r="Q120">
        <v>203.4</v>
      </c>
      <c r="R120">
        <v>1</v>
      </c>
      <c r="S120">
        <v>70.954578055783898</v>
      </c>
      <c r="T120">
        <f t="shared" si="1"/>
        <v>0.70954578055783901</v>
      </c>
      <c r="U120" t="s">
        <v>221</v>
      </c>
      <c r="V120" t="s">
        <v>48</v>
      </c>
    </row>
    <row r="121" spans="1:22" x14ac:dyDescent="0.25">
      <c r="A121">
        <v>120</v>
      </c>
      <c r="B121" t="s">
        <v>217</v>
      </c>
      <c r="C121" s="2">
        <v>43186</v>
      </c>
      <c r="D121" t="s">
        <v>37</v>
      </c>
      <c r="F121" t="s">
        <v>39</v>
      </c>
      <c r="G121">
        <v>1</v>
      </c>
      <c r="H121" t="s">
        <v>272</v>
      </c>
      <c r="I121" t="s">
        <v>273</v>
      </c>
      <c r="J121" t="s">
        <v>42</v>
      </c>
      <c r="K121" t="s">
        <v>274</v>
      </c>
      <c r="L121" t="s">
        <v>275</v>
      </c>
      <c r="M121" t="s">
        <v>101</v>
      </c>
      <c r="N121" t="s">
        <v>257</v>
      </c>
      <c r="O121">
        <v>120</v>
      </c>
      <c r="P121">
        <v>24.6006389776358</v>
      </c>
      <c r="Q121">
        <v>355.4</v>
      </c>
      <c r="R121">
        <v>1</v>
      </c>
      <c r="S121">
        <v>53.920408843907502</v>
      </c>
      <c r="T121">
        <f t="shared" si="1"/>
        <v>0.53920408843907497</v>
      </c>
      <c r="U121" t="s">
        <v>221</v>
      </c>
      <c r="V121" t="s">
        <v>48</v>
      </c>
    </row>
    <row r="122" spans="1:22" x14ac:dyDescent="0.25">
      <c r="A122">
        <v>121</v>
      </c>
      <c r="B122" t="s">
        <v>217</v>
      </c>
      <c r="C122" s="2">
        <v>43186</v>
      </c>
      <c r="D122" t="s">
        <v>37</v>
      </c>
      <c r="F122" t="s">
        <v>39</v>
      </c>
      <c r="G122">
        <v>1</v>
      </c>
      <c r="H122" t="s">
        <v>276</v>
      </c>
      <c r="I122" t="s">
        <v>277</v>
      </c>
      <c r="J122" t="s">
        <v>42</v>
      </c>
      <c r="K122" t="s">
        <v>278</v>
      </c>
      <c r="L122" t="s">
        <v>177</v>
      </c>
      <c r="M122" t="s">
        <v>101</v>
      </c>
      <c r="N122" t="s">
        <v>257</v>
      </c>
      <c r="O122">
        <v>120</v>
      </c>
      <c r="P122">
        <v>37.864077669902898</v>
      </c>
      <c r="Q122">
        <v>299</v>
      </c>
      <c r="R122">
        <v>1</v>
      </c>
      <c r="S122">
        <v>51.699966824476597</v>
      </c>
      <c r="T122">
        <f t="shared" si="1"/>
        <v>0.51699966824476595</v>
      </c>
      <c r="U122" t="s">
        <v>221</v>
      </c>
      <c r="V122" t="s">
        <v>48</v>
      </c>
    </row>
    <row r="123" spans="1:22" x14ac:dyDescent="0.25">
      <c r="A123">
        <v>122</v>
      </c>
      <c r="B123" t="s">
        <v>217</v>
      </c>
      <c r="C123" s="2">
        <v>43186</v>
      </c>
      <c r="D123" t="s">
        <v>37</v>
      </c>
      <c r="F123" t="s">
        <v>39</v>
      </c>
      <c r="G123">
        <v>1</v>
      </c>
      <c r="H123" t="s">
        <v>279</v>
      </c>
      <c r="I123" t="s">
        <v>280</v>
      </c>
      <c r="J123" t="s">
        <v>42</v>
      </c>
      <c r="K123" t="s">
        <v>281</v>
      </c>
      <c r="L123" t="s">
        <v>177</v>
      </c>
      <c r="M123" t="s">
        <v>45</v>
      </c>
      <c r="N123" t="s">
        <v>257</v>
      </c>
      <c r="O123">
        <v>120</v>
      </c>
      <c r="P123">
        <v>31.351351351351401</v>
      </c>
      <c r="Q123">
        <v>210.6</v>
      </c>
      <c r="R123">
        <v>1</v>
      </c>
      <c r="S123">
        <v>53.307979126889599</v>
      </c>
      <c r="T123">
        <f t="shared" si="1"/>
        <v>0.53307979126889604</v>
      </c>
      <c r="U123" t="s">
        <v>221</v>
      </c>
      <c r="V123" t="s">
        <v>48</v>
      </c>
    </row>
    <row r="124" spans="1:22" x14ac:dyDescent="0.25">
      <c r="A124">
        <v>123</v>
      </c>
      <c r="B124" t="s">
        <v>217</v>
      </c>
      <c r="C124" s="2">
        <v>43186</v>
      </c>
      <c r="D124" t="s">
        <v>37</v>
      </c>
      <c r="F124" t="s">
        <v>39</v>
      </c>
      <c r="G124">
        <v>1</v>
      </c>
      <c r="H124" t="s">
        <v>282</v>
      </c>
      <c r="I124" t="s">
        <v>283</v>
      </c>
      <c r="J124" t="s">
        <v>42</v>
      </c>
      <c r="K124" t="s">
        <v>284</v>
      </c>
      <c r="L124" t="s">
        <v>285</v>
      </c>
      <c r="M124" t="s">
        <v>101</v>
      </c>
      <c r="N124" t="s">
        <v>257</v>
      </c>
      <c r="O124">
        <v>120</v>
      </c>
      <c r="P124">
        <v>53.846153846153797</v>
      </c>
      <c r="Q124">
        <v>613.4</v>
      </c>
      <c r="R124">
        <v>1</v>
      </c>
      <c r="S124">
        <v>51.171686432439003</v>
      </c>
      <c r="T124">
        <f t="shared" si="1"/>
        <v>0.51171686432439001</v>
      </c>
      <c r="U124" t="s">
        <v>221</v>
      </c>
      <c r="V124" t="s">
        <v>48</v>
      </c>
    </row>
    <row r="125" spans="1:22" x14ac:dyDescent="0.25">
      <c r="A125">
        <v>124</v>
      </c>
      <c r="B125" t="s">
        <v>217</v>
      </c>
      <c r="C125" s="2">
        <v>43186</v>
      </c>
      <c r="D125" t="s">
        <v>37</v>
      </c>
      <c r="F125" t="s">
        <v>39</v>
      </c>
      <c r="G125">
        <v>1</v>
      </c>
      <c r="H125" t="s">
        <v>286</v>
      </c>
      <c r="I125" t="s">
        <v>287</v>
      </c>
      <c r="J125" t="s">
        <v>42</v>
      </c>
      <c r="K125" t="s">
        <v>288</v>
      </c>
      <c r="L125" t="s">
        <v>289</v>
      </c>
      <c r="M125" t="s">
        <v>45</v>
      </c>
      <c r="N125" t="s">
        <v>257</v>
      </c>
      <c r="O125">
        <v>78</v>
      </c>
      <c r="P125">
        <v>68.292682926829301</v>
      </c>
      <c r="Q125">
        <v>497.9</v>
      </c>
      <c r="R125">
        <v>0</v>
      </c>
      <c r="S125">
        <v>50.326107078013401</v>
      </c>
      <c r="T125">
        <f t="shared" si="1"/>
        <v>0.50326107078013405</v>
      </c>
      <c r="U125" t="s">
        <v>221</v>
      </c>
      <c r="V125" t="s">
        <v>48</v>
      </c>
    </row>
    <row r="126" spans="1:22" x14ac:dyDescent="0.25">
      <c r="A126">
        <v>125</v>
      </c>
      <c r="B126" t="s">
        <v>217</v>
      </c>
      <c r="C126" s="2">
        <v>43186</v>
      </c>
      <c r="D126" t="s">
        <v>37</v>
      </c>
      <c r="F126" t="s">
        <v>39</v>
      </c>
      <c r="G126">
        <v>1</v>
      </c>
      <c r="H126" t="s">
        <v>290</v>
      </c>
      <c r="I126" t="s">
        <v>291</v>
      </c>
      <c r="J126" t="s">
        <v>42</v>
      </c>
      <c r="K126" t="s">
        <v>292</v>
      </c>
      <c r="L126" t="s">
        <v>293</v>
      </c>
      <c r="M126" t="s">
        <v>101</v>
      </c>
      <c r="N126" t="s">
        <v>294</v>
      </c>
      <c r="O126">
        <v>120</v>
      </c>
      <c r="P126">
        <v>51.515151515151501</v>
      </c>
      <c r="Q126">
        <v>615.5</v>
      </c>
      <c r="R126">
        <v>1</v>
      </c>
      <c r="S126">
        <v>66.649261882698596</v>
      </c>
      <c r="T126">
        <f t="shared" si="1"/>
        <v>0.66649261882698596</v>
      </c>
      <c r="U126" t="s">
        <v>221</v>
      </c>
      <c r="V126" t="s">
        <v>295</v>
      </c>
    </row>
    <row r="127" spans="1:22" x14ac:dyDescent="0.25">
      <c r="A127">
        <v>126</v>
      </c>
      <c r="B127" t="s">
        <v>217</v>
      </c>
      <c r="C127" s="2">
        <v>43186</v>
      </c>
      <c r="D127" t="s">
        <v>37</v>
      </c>
      <c r="F127" t="s">
        <v>39</v>
      </c>
      <c r="G127">
        <v>1</v>
      </c>
      <c r="H127" t="s">
        <v>296</v>
      </c>
      <c r="I127" t="s">
        <v>297</v>
      </c>
      <c r="J127" t="s">
        <v>42</v>
      </c>
      <c r="K127" t="s">
        <v>298</v>
      </c>
      <c r="L127" t="s">
        <v>293</v>
      </c>
      <c r="M127" t="s">
        <v>101</v>
      </c>
      <c r="N127" t="s">
        <v>294</v>
      </c>
      <c r="O127">
        <v>30</v>
      </c>
      <c r="P127">
        <v>55.974842767295598</v>
      </c>
      <c r="Q127">
        <v>734.4</v>
      </c>
      <c r="R127">
        <v>1</v>
      </c>
      <c r="S127">
        <v>59.146567430768698</v>
      </c>
      <c r="T127">
        <f t="shared" si="1"/>
        <v>0.59146567430768693</v>
      </c>
      <c r="U127" t="s">
        <v>221</v>
      </c>
      <c r="V127" t="s">
        <v>295</v>
      </c>
    </row>
    <row r="128" spans="1:22" x14ac:dyDescent="0.25">
      <c r="A128">
        <v>127</v>
      </c>
      <c r="B128" t="s">
        <v>217</v>
      </c>
      <c r="C128" s="2">
        <v>43186</v>
      </c>
      <c r="D128" t="s">
        <v>37</v>
      </c>
      <c r="F128" t="s">
        <v>39</v>
      </c>
      <c r="G128">
        <v>1</v>
      </c>
      <c r="H128" t="s">
        <v>299</v>
      </c>
      <c r="I128" t="s">
        <v>300</v>
      </c>
      <c r="J128" t="s">
        <v>42</v>
      </c>
      <c r="K128" t="s">
        <v>301</v>
      </c>
      <c r="L128" t="s">
        <v>302</v>
      </c>
      <c r="M128" t="s">
        <v>45</v>
      </c>
      <c r="N128" t="s">
        <v>294</v>
      </c>
      <c r="O128">
        <v>120</v>
      </c>
      <c r="P128">
        <v>55.2083333333333</v>
      </c>
      <c r="Q128">
        <v>361.2</v>
      </c>
      <c r="R128">
        <v>1</v>
      </c>
      <c r="S128">
        <v>75.583036377086401</v>
      </c>
      <c r="T128">
        <f t="shared" si="1"/>
        <v>0.75583036377086399</v>
      </c>
      <c r="U128" t="s">
        <v>221</v>
      </c>
      <c r="V128" t="s">
        <v>295</v>
      </c>
    </row>
    <row r="129" spans="1:22" x14ac:dyDescent="0.25">
      <c r="A129">
        <v>128</v>
      </c>
      <c r="B129" t="s">
        <v>217</v>
      </c>
      <c r="C129" s="2">
        <v>43186</v>
      </c>
      <c r="D129" t="s">
        <v>37</v>
      </c>
      <c r="F129" t="s">
        <v>39</v>
      </c>
      <c r="G129">
        <v>1</v>
      </c>
      <c r="H129" t="s">
        <v>303</v>
      </c>
      <c r="I129" t="s">
        <v>304</v>
      </c>
      <c r="J129" t="s">
        <v>42</v>
      </c>
      <c r="K129" t="s">
        <v>305</v>
      </c>
      <c r="L129" t="s">
        <v>250</v>
      </c>
      <c r="M129" t="s">
        <v>101</v>
      </c>
      <c r="N129" t="s">
        <v>294</v>
      </c>
      <c r="O129">
        <v>75</v>
      </c>
      <c r="P129">
        <v>58.4699453551913</v>
      </c>
      <c r="Q129">
        <v>629</v>
      </c>
      <c r="R129">
        <v>0</v>
      </c>
      <c r="S129">
        <v>53.226854406841703</v>
      </c>
      <c r="T129">
        <f t="shared" si="1"/>
        <v>0.53226854406841706</v>
      </c>
      <c r="U129" t="s">
        <v>221</v>
      </c>
      <c r="V129" t="s">
        <v>295</v>
      </c>
    </row>
    <row r="130" spans="1:22" x14ac:dyDescent="0.25">
      <c r="A130">
        <v>129</v>
      </c>
      <c r="B130" t="s">
        <v>217</v>
      </c>
      <c r="C130" s="2">
        <v>43186</v>
      </c>
      <c r="D130" t="s">
        <v>37</v>
      </c>
      <c r="F130" t="s">
        <v>39</v>
      </c>
      <c r="G130">
        <v>1</v>
      </c>
      <c r="H130" t="s">
        <v>306</v>
      </c>
      <c r="I130" t="s">
        <v>307</v>
      </c>
      <c r="J130" t="s">
        <v>42</v>
      </c>
      <c r="K130" t="s">
        <v>308</v>
      </c>
      <c r="L130" t="s">
        <v>250</v>
      </c>
      <c r="M130" t="s">
        <v>101</v>
      </c>
      <c r="N130" t="s">
        <v>294</v>
      </c>
      <c r="O130">
        <v>120</v>
      </c>
      <c r="P130">
        <v>65.079365079365104</v>
      </c>
      <c r="Q130">
        <v>721.4</v>
      </c>
      <c r="R130">
        <v>1</v>
      </c>
      <c r="S130">
        <v>53.176493389185701</v>
      </c>
      <c r="T130">
        <f t="shared" si="1"/>
        <v>0.53176493389185697</v>
      </c>
      <c r="U130" t="s">
        <v>221</v>
      </c>
      <c r="V130" t="s">
        <v>295</v>
      </c>
    </row>
    <row r="131" spans="1:22" x14ac:dyDescent="0.25">
      <c r="A131">
        <v>130</v>
      </c>
      <c r="B131" t="s">
        <v>217</v>
      </c>
      <c r="C131" s="2">
        <v>43186</v>
      </c>
      <c r="D131" t="s">
        <v>37</v>
      </c>
      <c r="F131" t="s">
        <v>39</v>
      </c>
      <c r="G131">
        <v>1</v>
      </c>
      <c r="H131" t="s">
        <v>309</v>
      </c>
      <c r="I131" t="s">
        <v>310</v>
      </c>
      <c r="J131" t="s">
        <v>42</v>
      </c>
      <c r="K131" t="s">
        <v>311</v>
      </c>
      <c r="L131" t="s">
        <v>250</v>
      </c>
      <c r="M131" t="s">
        <v>101</v>
      </c>
      <c r="N131" t="s">
        <v>294</v>
      </c>
      <c r="O131">
        <v>120</v>
      </c>
      <c r="P131">
        <v>26.25</v>
      </c>
      <c r="Q131">
        <v>187.7</v>
      </c>
      <c r="R131">
        <v>1</v>
      </c>
      <c r="S131">
        <v>66.845189898202804</v>
      </c>
      <c r="T131">
        <f t="shared" ref="T131:T194" si="2">S131/100</f>
        <v>0.66845189898202806</v>
      </c>
      <c r="U131" t="s">
        <v>221</v>
      </c>
      <c r="V131" t="s">
        <v>295</v>
      </c>
    </row>
    <row r="132" spans="1:22" x14ac:dyDescent="0.25">
      <c r="A132">
        <v>131</v>
      </c>
      <c r="B132" t="s">
        <v>217</v>
      </c>
      <c r="C132" s="2">
        <v>43186</v>
      </c>
      <c r="D132" t="s">
        <v>37</v>
      </c>
      <c r="F132" t="s">
        <v>39</v>
      </c>
      <c r="G132">
        <v>1</v>
      </c>
      <c r="H132" t="s">
        <v>312</v>
      </c>
      <c r="I132" t="s">
        <v>313</v>
      </c>
      <c r="J132" t="s">
        <v>42</v>
      </c>
      <c r="K132" t="s">
        <v>314</v>
      </c>
      <c r="L132" t="s">
        <v>250</v>
      </c>
      <c r="M132" t="s">
        <v>101</v>
      </c>
      <c r="N132" t="s">
        <v>294</v>
      </c>
      <c r="O132">
        <v>120</v>
      </c>
      <c r="P132">
        <v>38.317757009345797</v>
      </c>
      <c r="Q132">
        <v>531.29999999999995</v>
      </c>
      <c r="R132">
        <v>1</v>
      </c>
      <c r="S132">
        <v>50.401447513460703</v>
      </c>
      <c r="T132">
        <f t="shared" si="2"/>
        <v>0.50401447513460707</v>
      </c>
      <c r="U132" t="s">
        <v>221</v>
      </c>
      <c r="V132" t="s">
        <v>295</v>
      </c>
    </row>
    <row r="133" spans="1:22" x14ac:dyDescent="0.25">
      <c r="A133">
        <v>132</v>
      </c>
      <c r="B133" t="s">
        <v>217</v>
      </c>
      <c r="C133" s="2">
        <v>43186</v>
      </c>
      <c r="D133" t="s">
        <v>37</v>
      </c>
      <c r="F133" t="s">
        <v>39</v>
      </c>
      <c r="G133">
        <v>1</v>
      </c>
      <c r="H133" t="s">
        <v>315</v>
      </c>
      <c r="I133" t="s">
        <v>316</v>
      </c>
      <c r="J133" t="s">
        <v>42</v>
      </c>
      <c r="K133" t="s">
        <v>317</v>
      </c>
      <c r="L133" t="s">
        <v>185</v>
      </c>
      <c r="M133" t="s">
        <v>101</v>
      </c>
      <c r="N133" t="s">
        <v>294</v>
      </c>
      <c r="O133">
        <v>120</v>
      </c>
      <c r="P133">
        <v>47.457627118644098</v>
      </c>
      <c r="Q133">
        <v>669.6</v>
      </c>
      <c r="R133">
        <v>1</v>
      </c>
      <c r="S133">
        <v>48.511039472001798</v>
      </c>
      <c r="T133">
        <f t="shared" si="2"/>
        <v>0.48511039472001799</v>
      </c>
      <c r="U133" t="s">
        <v>221</v>
      </c>
      <c r="V133" t="s">
        <v>295</v>
      </c>
    </row>
    <row r="134" spans="1:22" x14ac:dyDescent="0.25">
      <c r="A134">
        <v>133</v>
      </c>
      <c r="B134" t="s">
        <v>217</v>
      </c>
      <c r="C134" s="2">
        <v>43186</v>
      </c>
      <c r="D134" t="s">
        <v>37</v>
      </c>
      <c r="F134" t="s">
        <v>39</v>
      </c>
      <c r="G134">
        <v>1</v>
      </c>
      <c r="H134" t="s">
        <v>318</v>
      </c>
      <c r="I134" t="s">
        <v>319</v>
      </c>
      <c r="J134" t="s">
        <v>109</v>
      </c>
      <c r="K134" t="s">
        <v>320</v>
      </c>
      <c r="L134" t="s">
        <v>185</v>
      </c>
      <c r="M134" t="s">
        <v>101</v>
      </c>
      <c r="N134" t="s">
        <v>294</v>
      </c>
      <c r="O134">
        <v>120</v>
      </c>
      <c r="P134">
        <v>28.3333333333333</v>
      </c>
      <c r="Q134">
        <v>575.4</v>
      </c>
      <c r="R134">
        <v>1</v>
      </c>
      <c r="S134">
        <v>47.644248291872998</v>
      </c>
      <c r="T134">
        <f t="shared" si="2"/>
        <v>0.47644248291872998</v>
      </c>
      <c r="U134" t="s">
        <v>221</v>
      </c>
      <c r="V134" t="s">
        <v>295</v>
      </c>
    </row>
    <row r="135" spans="1:22" x14ac:dyDescent="0.25">
      <c r="A135">
        <v>134</v>
      </c>
      <c r="B135" t="s">
        <v>217</v>
      </c>
      <c r="C135" s="2">
        <v>43186</v>
      </c>
      <c r="D135" t="s">
        <v>37</v>
      </c>
      <c r="F135" t="s">
        <v>39</v>
      </c>
      <c r="G135">
        <v>1</v>
      </c>
      <c r="H135" t="s">
        <v>321</v>
      </c>
      <c r="I135" t="s">
        <v>322</v>
      </c>
      <c r="J135" t="s">
        <v>42</v>
      </c>
      <c r="K135" t="s">
        <v>323</v>
      </c>
      <c r="L135" t="s">
        <v>185</v>
      </c>
      <c r="M135" t="s">
        <v>101</v>
      </c>
      <c r="N135" t="s">
        <v>294</v>
      </c>
      <c r="O135">
        <v>120</v>
      </c>
      <c r="P135">
        <v>13.636363636363599</v>
      </c>
      <c r="Q135">
        <v>136.1</v>
      </c>
      <c r="R135">
        <v>1</v>
      </c>
      <c r="S135">
        <v>48.069825930585701</v>
      </c>
      <c r="T135">
        <f t="shared" si="2"/>
        <v>0.48069825930585702</v>
      </c>
      <c r="U135" t="s">
        <v>221</v>
      </c>
      <c r="V135" t="s">
        <v>295</v>
      </c>
    </row>
    <row r="136" spans="1:22" x14ac:dyDescent="0.25">
      <c r="A136">
        <v>135</v>
      </c>
      <c r="B136" t="s">
        <v>217</v>
      </c>
      <c r="C136" s="2">
        <v>43199</v>
      </c>
      <c r="D136" t="s">
        <v>37</v>
      </c>
      <c r="F136" t="s">
        <v>39</v>
      </c>
      <c r="G136">
        <v>2</v>
      </c>
      <c r="H136" t="s">
        <v>218</v>
      </c>
      <c r="I136" t="s">
        <v>219</v>
      </c>
      <c r="J136" t="s">
        <v>42</v>
      </c>
      <c r="K136" t="s">
        <v>220</v>
      </c>
      <c r="L136" t="s">
        <v>44</v>
      </c>
      <c r="M136" t="s">
        <v>45</v>
      </c>
      <c r="N136" t="s">
        <v>46</v>
      </c>
      <c r="O136">
        <v>25</v>
      </c>
      <c r="P136">
        <v>50.649350649350602</v>
      </c>
      <c r="Q136">
        <v>492.3</v>
      </c>
      <c r="R136">
        <v>0</v>
      </c>
      <c r="S136">
        <v>48.704028021015802</v>
      </c>
      <c r="T136">
        <f t="shared" si="2"/>
        <v>0.48704028021015799</v>
      </c>
      <c r="U136" t="s">
        <v>221</v>
      </c>
      <c r="V136" t="s">
        <v>48</v>
      </c>
    </row>
    <row r="137" spans="1:22" x14ac:dyDescent="0.25">
      <c r="A137">
        <v>136</v>
      </c>
      <c r="B137" t="s">
        <v>217</v>
      </c>
      <c r="C137" s="2">
        <v>43199</v>
      </c>
      <c r="D137" t="s">
        <v>37</v>
      </c>
      <c r="F137" t="s">
        <v>39</v>
      </c>
      <c r="G137">
        <v>2</v>
      </c>
      <c r="H137" t="s">
        <v>222</v>
      </c>
      <c r="I137" t="s">
        <v>223</v>
      </c>
      <c r="J137" t="s">
        <v>42</v>
      </c>
      <c r="K137" t="s">
        <v>224</v>
      </c>
      <c r="L137" t="s">
        <v>225</v>
      </c>
      <c r="M137" t="s">
        <v>45</v>
      </c>
      <c r="N137" t="s">
        <v>46</v>
      </c>
      <c r="O137">
        <v>120</v>
      </c>
      <c r="P137">
        <v>48.717948717948701</v>
      </c>
      <c r="Q137">
        <v>633.9</v>
      </c>
      <c r="R137">
        <v>0</v>
      </c>
      <c r="S137">
        <v>50.980392156862798</v>
      </c>
      <c r="T137">
        <f t="shared" si="2"/>
        <v>0.50980392156862797</v>
      </c>
      <c r="U137" t="s">
        <v>221</v>
      </c>
      <c r="V137" t="s">
        <v>48</v>
      </c>
    </row>
    <row r="138" spans="1:22" x14ac:dyDescent="0.25">
      <c r="A138">
        <v>137</v>
      </c>
      <c r="B138" t="s">
        <v>217</v>
      </c>
      <c r="C138" s="2">
        <v>43199</v>
      </c>
      <c r="D138" t="s">
        <v>37</v>
      </c>
      <c r="F138" t="s">
        <v>39</v>
      </c>
      <c r="G138">
        <v>2</v>
      </c>
      <c r="H138" t="s">
        <v>226</v>
      </c>
      <c r="I138" t="s">
        <v>227</v>
      </c>
      <c r="J138" t="s">
        <v>42</v>
      </c>
      <c r="K138" t="s">
        <v>228</v>
      </c>
      <c r="L138" t="s">
        <v>225</v>
      </c>
      <c r="M138" t="s">
        <v>45</v>
      </c>
      <c r="N138" t="s">
        <v>46</v>
      </c>
      <c r="O138">
        <v>27</v>
      </c>
      <c r="P138">
        <v>67.272727272727295</v>
      </c>
      <c r="Q138">
        <v>472.2</v>
      </c>
      <c r="R138">
        <v>0</v>
      </c>
      <c r="S138">
        <v>52.027027027027003</v>
      </c>
      <c r="T138">
        <f t="shared" si="2"/>
        <v>0.52027027027027006</v>
      </c>
      <c r="U138" t="s">
        <v>221</v>
      </c>
      <c r="V138" t="s">
        <v>48</v>
      </c>
    </row>
    <row r="139" spans="1:22" x14ac:dyDescent="0.25">
      <c r="A139">
        <v>138</v>
      </c>
      <c r="B139" t="s">
        <v>217</v>
      </c>
      <c r="C139" s="2">
        <v>43199</v>
      </c>
      <c r="D139" t="s">
        <v>37</v>
      </c>
      <c r="F139" t="s">
        <v>39</v>
      </c>
      <c r="G139">
        <v>2</v>
      </c>
      <c r="H139" t="s">
        <v>229</v>
      </c>
      <c r="I139" t="s">
        <v>230</v>
      </c>
      <c r="J139" t="s">
        <v>42</v>
      </c>
      <c r="K139" t="s">
        <v>231</v>
      </c>
      <c r="L139" t="s">
        <v>232</v>
      </c>
      <c r="M139" t="s">
        <v>45</v>
      </c>
      <c r="N139" t="s">
        <v>46</v>
      </c>
      <c r="O139">
        <v>22</v>
      </c>
      <c r="P139">
        <v>64.705882352941202</v>
      </c>
      <c r="Q139">
        <v>495.9</v>
      </c>
      <c r="R139">
        <v>0</v>
      </c>
      <c r="S139">
        <v>56.515151515151501</v>
      </c>
      <c r="T139">
        <f t="shared" si="2"/>
        <v>0.56515151515151496</v>
      </c>
      <c r="U139" t="s">
        <v>221</v>
      </c>
      <c r="V139" t="s">
        <v>48</v>
      </c>
    </row>
    <row r="140" spans="1:22" x14ac:dyDescent="0.25">
      <c r="A140">
        <v>139</v>
      </c>
      <c r="B140" t="s">
        <v>217</v>
      </c>
      <c r="C140" s="2">
        <v>43199</v>
      </c>
      <c r="D140" t="s">
        <v>37</v>
      </c>
      <c r="F140" t="s">
        <v>39</v>
      </c>
      <c r="G140">
        <v>2</v>
      </c>
      <c r="H140" t="s">
        <v>233</v>
      </c>
      <c r="I140" t="s">
        <v>234</v>
      </c>
      <c r="J140" t="s">
        <v>42</v>
      </c>
      <c r="K140" t="s">
        <v>235</v>
      </c>
      <c r="L140" t="s">
        <v>232</v>
      </c>
      <c r="M140" t="s">
        <v>45</v>
      </c>
      <c r="N140" t="s">
        <v>46</v>
      </c>
      <c r="O140">
        <v>120</v>
      </c>
      <c r="P140">
        <v>74.615384615384599</v>
      </c>
      <c r="Q140">
        <v>450.1</v>
      </c>
      <c r="R140">
        <v>1</v>
      </c>
      <c r="S140">
        <v>53.551251008878097</v>
      </c>
      <c r="T140">
        <f t="shared" si="2"/>
        <v>0.53551251008878098</v>
      </c>
      <c r="U140" t="s">
        <v>221</v>
      </c>
      <c r="V140" t="s">
        <v>48</v>
      </c>
    </row>
    <row r="141" spans="1:22" x14ac:dyDescent="0.25">
      <c r="A141">
        <v>140</v>
      </c>
      <c r="B141" t="s">
        <v>217</v>
      </c>
      <c r="C141" s="2">
        <v>43199</v>
      </c>
      <c r="D141" t="s">
        <v>37</v>
      </c>
      <c r="F141" t="s">
        <v>39</v>
      </c>
      <c r="G141">
        <v>2</v>
      </c>
      <c r="H141" t="s">
        <v>236</v>
      </c>
      <c r="I141" t="s">
        <v>237</v>
      </c>
      <c r="J141" t="s">
        <v>42</v>
      </c>
      <c r="K141" t="s">
        <v>238</v>
      </c>
      <c r="L141" t="s">
        <v>239</v>
      </c>
      <c r="M141" t="s">
        <v>45</v>
      </c>
      <c r="N141" t="s">
        <v>46</v>
      </c>
      <c r="O141">
        <v>120</v>
      </c>
      <c r="P141">
        <v>30.136986301369902</v>
      </c>
      <c r="Q141">
        <v>345</v>
      </c>
      <c r="R141">
        <v>1</v>
      </c>
      <c r="S141">
        <v>47.1027131782946</v>
      </c>
      <c r="T141">
        <f t="shared" si="2"/>
        <v>0.47102713178294597</v>
      </c>
      <c r="U141" t="s">
        <v>221</v>
      </c>
      <c r="V141" t="s">
        <v>48</v>
      </c>
    </row>
    <row r="142" spans="1:22" x14ac:dyDescent="0.25">
      <c r="A142">
        <v>141</v>
      </c>
      <c r="B142" t="s">
        <v>217</v>
      </c>
      <c r="C142" s="2">
        <v>43199</v>
      </c>
      <c r="D142" t="s">
        <v>37</v>
      </c>
      <c r="F142" t="s">
        <v>39</v>
      </c>
      <c r="G142">
        <v>2</v>
      </c>
      <c r="H142" t="s">
        <v>240</v>
      </c>
      <c r="I142" t="s">
        <v>241</v>
      </c>
      <c r="J142" t="s">
        <v>42</v>
      </c>
      <c r="K142" t="s">
        <v>242</v>
      </c>
      <c r="L142" t="s">
        <v>111</v>
      </c>
      <c r="M142" t="s">
        <v>45</v>
      </c>
      <c r="N142" t="s">
        <v>46</v>
      </c>
      <c r="O142">
        <v>103</v>
      </c>
      <c r="P142">
        <v>47.619047619047599</v>
      </c>
      <c r="Q142">
        <v>482.1</v>
      </c>
      <c r="R142">
        <v>0</v>
      </c>
      <c r="S142">
        <v>44.182754182754202</v>
      </c>
      <c r="T142">
        <f t="shared" si="2"/>
        <v>0.44182754182754203</v>
      </c>
      <c r="U142" t="s">
        <v>221</v>
      </c>
      <c r="V142" t="s">
        <v>48</v>
      </c>
    </row>
    <row r="143" spans="1:22" x14ac:dyDescent="0.25">
      <c r="A143">
        <v>142</v>
      </c>
      <c r="B143" t="s">
        <v>217</v>
      </c>
      <c r="C143" s="2">
        <v>43199</v>
      </c>
      <c r="D143" t="s">
        <v>37</v>
      </c>
      <c r="F143" t="s">
        <v>39</v>
      </c>
      <c r="G143">
        <v>2</v>
      </c>
      <c r="H143" t="s">
        <v>243</v>
      </c>
      <c r="I143" t="s">
        <v>244</v>
      </c>
      <c r="J143" t="s">
        <v>42</v>
      </c>
      <c r="K143" t="s">
        <v>245</v>
      </c>
      <c r="L143" t="s">
        <v>246</v>
      </c>
      <c r="M143" t="s">
        <v>45</v>
      </c>
      <c r="N143" t="s">
        <v>46</v>
      </c>
      <c r="O143">
        <v>4</v>
      </c>
      <c r="P143">
        <v>77.611940298507506</v>
      </c>
      <c r="Q143">
        <v>668.2</v>
      </c>
      <c r="R143">
        <v>0</v>
      </c>
      <c r="S143">
        <v>43.873873873873897</v>
      </c>
      <c r="T143">
        <f t="shared" si="2"/>
        <v>0.43873873873873898</v>
      </c>
      <c r="U143" t="s">
        <v>221</v>
      </c>
      <c r="V143" t="s">
        <v>48</v>
      </c>
    </row>
    <row r="144" spans="1:22" x14ac:dyDescent="0.25">
      <c r="A144">
        <v>143</v>
      </c>
      <c r="B144" t="s">
        <v>217</v>
      </c>
      <c r="C144" s="2">
        <v>43199</v>
      </c>
      <c r="D144" t="s">
        <v>37</v>
      </c>
      <c r="F144" t="s">
        <v>39</v>
      </c>
      <c r="G144">
        <v>2</v>
      </c>
      <c r="H144" t="s">
        <v>247</v>
      </c>
      <c r="I144" t="s">
        <v>248</v>
      </c>
      <c r="J144" t="s">
        <v>42</v>
      </c>
      <c r="K144" t="s">
        <v>249</v>
      </c>
      <c r="L144" t="s">
        <v>250</v>
      </c>
      <c r="M144" t="s">
        <v>45</v>
      </c>
      <c r="N144" t="s">
        <v>46</v>
      </c>
      <c r="O144">
        <v>120</v>
      </c>
      <c r="P144">
        <v>70.175438596491205</v>
      </c>
      <c r="Q144">
        <v>665</v>
      </c>
      <c r="R144">
        <v>1</v>
      </c>
      <c r="S144">
        <v>50.977653631284902</v>
      </c>
      <c r="T144">
        <f t="shared" si="2"/>
        <v>0.50977653631284903</v>
      </c>
      <c r="U144" t="s">
        <v>221</v>
      </c>
      <c r="V144" t="s">
        <v>48</v>
      </c>
    </row>
    <row r="145" spans="1:22" x14ac:dyDescent="0.25">
      <c r="A145">
        <v>144</v>
      </c>
      <c r="B145" t="s">
        <v>217</v>
      </c>
      <c r="C145" s="2">
        <v>43199</v>
      </c>
      <c r="D145" t="s">
        <v>37</v>
      </c>
      <c r="F145" t="s">
        <v>39</v>
      </c>
      <c r="G145">
        <v>1</v>
      </c>
      <c r="H145" t="s">
        <v>251</v>
      </c>
      <c r="I145" t="s">
        <v>252</v>
      </c>
      <c r="J145" t="s">
        <v>42</v>
      </c>
      <c r="K145" t="s">
        <v>253</v>
      </c>
      <c r="L145" t="s">
        <v>59</v>
      </c>
      <c r="M145" t="s">
        <v>45</v>
      </c>
      <c r="N145" t="s">
        <v>46</v>
      </c>
      <c r="O145">
        <v>120</v>
      </c>
      <c r="P145">
        <v>19.819819819819799</v>
      </c>
      <c r="Q145">
        <v>419.8</v>
      </c>
      <c r="R145">
        <v>1</v>
      </c>
      <c r="S145">
        <v>58.279009126466804</v>
      </c>
      <c r="T145">
        <f t="shared" si="2"/>
        <v>0.58279009126466808</v>
      </c>
      <c r="U145" t="s">
        <v>221</v>
      </c>
      <c r="V145" t="s">
        <v>48</v>
      </c>
    </row>
    <row r="146" spans="1:22" x14ac:dyDescent="0.25">
      <c r="A146">
        <v>145</v>
      </c>
      <c r="B146" t="s">
        <v>217</v>
      </c>
      <c r="C146" s="2">
        <v>43199</v>
      </c>
      <c r="D146" t="s">
        <v>37</v>
      </c>
      <c r="F146" t="s">
        <v>39</v>
      </c>
      <c r="G146">
        <v>2</v>
      </c>
      <c r="H146" t="s">
        <v>254</v>
      </c>
      <c r="I146" t="s">
        <v>255</v>
      </c>
      <c r="J146" t="s">
        <v>42</v>
      </c>
      <c r="K146" t="s">
        <v>256</v>
      </c>
      <c r="L146" t="s">
        <v>177</v>
      </c>
      <c r="M146" t="s">
        <v>101</v>
      </c>
      <c r="N146" t="s">
        <v>257</v>
      </c>
      <c r="O146">
        <v>120</v>
      </c>
      <c r="P146">
        <v>44.827586206896598</v>
      </c>
      <c r="Q146">
        <v>470</v>
      </c>
      <c r="R146">
        <v>1</v>
      </c>
      <c r="S146">
        <v>59.962446351931298</v>
      </c>
      <c r="T146">
        <f t="shared" si="2"/>
        <v>0.59962446351931298</v>
      </c>
      <c r="U146" t="s">
        <v>221</v>
      </c>
      <c r="V146" t="s">
        <v>48</v>
      </c>
    </row>
    <row r="147" spans="1:22" x14ac:dyDescent="0.25">
      <c r="A147">
        <v>146</v>
      </c>
      <c r="B147" t="s">
        <v>217</v>
      </c>
      <c r="C147" s="2">
        <v>43199</v>
      </c>
      <c r="D147" t="s">
        <v>37</v>
      </c>
      <c r="F147" t="s">
        <v>39</v>
      </c>
      <c r="G147">
        <v>2</v>
      </c>
      <c r="H147" t="s">
        <v>258</v>
      </c>
      <c r="I147" t="s">
        <v>259</v>
      </c>
      <c r="J147" t="s">
        <v>42</v>
      </c>
      <c r="K147" t="s">
        <v>260</v>
      </c>
      <c r="L147" t="s">
        <v>261</v>
      </c>
      <c r="M147" t="s">
        <v>45</v>
      </c>
      <c r="N147" t="s">
        <v>257</v>
      </c>
      <c r="O147">
        <v>53</v>
      </c>
      <c r="P147">
        <v>59.712230215827297</v>
      </c>
      <c r="Q147">
        <v>716.9</v>
      </c>
      <c r="R147">
        <v>0</v>
      </c>
      <c r="S147">
        <v>51.810070108349301</v>
      </c>
      <c r="T147">
        <f t="shared" si="2"/>
        <v>0.51810070108349304</v>
      </c>
      <c r="U147" t="s">
        <v>221</v>
      </c>
      <c r="V147" t="s">
        <v>48</v>
      </c>
    </row>
    <row r="148" spans="1:22" x14ac:dyDescent="0.25">
      <c r="A148">
        <v>147</v>
      </c>
      <c r="B148" t="s">
        <v>217</v>
      </c>
      <c r="C148" s="2">
        <v>43199</v>
      </c>
      <c r="D148" t="s">
        <v>37</v>
      </c>
      <c r="F148" t="s">
        <v>39</v>
      </c>
      <c r="G148">
        <v>2</v>
      </c>
      <c r="H148" t="s">
        <v>262</v>
      </c>
      <c r="I148" t="s">
        <v>263</v>
      </c>
      <c r="J148" t="s">
        <v>42</v>
      </c>
      <c r="K148" t="s">
        <v>264</v>
      </c>
      <c r="L148" t="s">
        <v>111</v>
      </c>
      <c r="M148" t="s">
        <v>101</v>
      </c>
      <c r="N148" t="s">
        <v>257</v>
      </c>
      <c r="O148">
        <v>120</v>
      </c>
      <c r="P148">
        <v>44.262295081967203</v>
      </c>
      <c r="Q148">
        <v>557.29999999999995</v>
      </c>
      <c r="R148">
        <v>1</v>
      </c>
      <c r="S148">
        <v>48.118556701030897</v>
      </c>
      <c r="T148">
        <f t="shared" si="2"/>
        <v>0.48118556701030896</v>
      </c>
      <c r="U148" t="s">
        <v>221</v>
      </c>
      <c r="V148" t="s">
        <v>48</v>
      </c>
    </row>
    <row r="149" spans="1:22" x14ac:dyDescent="0.25">
      <c r="A149">
        <v>148</v>
      </c>
      <c r="B149" t="s">
        <v>217</v>
      </c>
      <c r="C149" s="2">
        <v>43199</v>
      </c>
      <c r="D149" t="s">
        <v>37</v>
      </c>
      <c r="F149" t="s">
        <v>39</v>
      </c>
      <c r="G149">
        <v>2</v>
      </c>
      <c r="H149" t="s">
        <v>265</v>
      </c>
      <c r="I149" t="s">
        <v>266</v>
      </c>
      <c r="J149" t="s">
        <v>42</v>
      </c>
      <c r="K149" t="s">
        <v>267</v>
      </c>
      <c r="L149" t="s">
        <v>268</v>
      </c>
      <c r="M149" t="s">
        <v>45</v>
      </c>
      <c r="N149" t="s">
        <v>257</v>
      </c>
      <c r="O149">
        <v>120</v>
      </c>
      <c r="P149">
        <v>52.688172043010802</v>
      </c>
      <c r="Q149">
        <v>475.1</v>
      </c>
      <c r="R149">
        <v>1</v>
      </c>
      <c r="S149">
        <v>55.803876852907599</v>
      </c>
      <c r="T149">
        <f t="shared" si="2"/>
        <v>0.55803876852907597</v>
      </c>
      <c r="U149" t="s">
        <v>221</v>
      </c>
      <c r="V149" t="s">
        <v>48</v>
      </c>
    </row>
    <row r="150" spans="1:22" x14ac:dyDescent="0.25">
      <c r="A150">
        <v>149</v>
      </c>
      <c r="B150" t="s">
        <v>217</v>
      </c>
      <c r="C150" s="2">
        <v>43199</v>
      </c>
      <c r="D150" t="s">
        <v>37</v>
      </c>
      <c r="F150" t="s">
        <v>39</v>
      </c>
      <c r="G150">
        <v>2</v>
      </c>
      <c r="H150" t="s">
        <v>269</v>
      </c>
      <c r="I150" t="s">
        <v>270</v>
      </c>
      <c r="J150" t="s">
        <v>42</v>
      </c>
      <c r="K150" t="s">
        <v>271</v>
      </c>
      <c r="L150" t="s">
        <v>111</v>
      </c>
      <c r="M150" t="s">
        <v>45</v>
      </c>
      <c r="N150" t="s">
        <v>257</v>
      </c>
      <c r="O150">
        <v>120</v>
      </c>
      <c r="P150">
        <v>43.478260869565197</v>
      </c>
      <c r="Q150">
        <v>245</v>
      </c>
      <c r="R150">
        <v>1</v>
      </c>
      <c r="S150">
        <v>68.947368421052602</v>
      </c>
      <c r="T150">
        <f t="shared" si="2"/>
        <v>0.68947368421052602</v>
      </c>
      <c r="U150" t="s">
        <v>221</v>
      </c>
      <c r="V150" t="s">
        <v>48</v>
      </c>
    </row>
    <row r="151" spans="1:22" x14ac:dyDescent="0.25">
      <c r="A151">
        <v>150</v>
      </c>
      <c r="B151" t="s">
        <v>217</v>
      </c>
      <c r="C151" s="2">
        <v>43199</v>
      </c>
      <c r="D151" t="s">
        <v>37</v>
      </c>
      <c r="F151" t="s">
        <v>39</v>
      </c>
      <c r="G151">
        <v>2</v>
      </c>
      <c r="H151" t="s">
        <v>272</v>
      </c>
      <c r="I151" t="s">
        <v>273</v>
      </c>
      <c r="J151" t="s">
        <v>42</v>
      </c>
      <c r="K151" t="s">
        <v>274</v>
      </c>
      <c r="L151" t="s">
        <v>275</v>
      </c>
      <c r="M151" t="s">
        <v>101</v>
      </c>
      <c r="N151" t="s">
        <v>257</v>
      </c>
      <c r="O151">
        <v>120</v>
      </c>
      <c r="P151">
        <v>25.8241758241758</v>
      </c>
      <c r="Q151">
        <v>340.5</v>
      </c>
      <c r="R151">
        <v>1</v>
      </c>
      <c r="S151">
        <v>60.210748155953603</v>
      </c>
      <c r="T151">
        <f t="shared" si="2"/>
        <v>0.60210748155953597</v>
      </c>
      <c r="U151" t="s">
        <v>221</v>
      </c>
      <c r="V151" t="s">
        <v>48</v>
      </c>
    </row>
    <row r="152" spans="1:22" x14ac:dyDescent="0.25">
      <c r="A152">
        <v>151</v>
      </c>
      <c r="B152" t="s">
        <v>217</v>
      </c>
      <c r="C152" s="2">
        <v>43199</v>
      </c>
      <c r="D152" t="s">
        <v>37</v>
      </c>
      <c r="F152" t="s">
        <v>39</v>
      </c>
      <c r="G152">
        <v>2</v>
      </c>
      <c r="H152" t="s">
        <v>276</v>
      </c>
      <c r="I152" t="s">
        <v>277</v>
      </c>
      <c r="J152" t="s">
        <v>42</v>
      </c>
      <c r="K152" t="s">
        <v>278</v>
      </c>
      <c r="L152" t="s">
        <v>177</v>
      </c>
      <c r="M152" t="s">
        <v>101</v>
      </c>
      <c r="N152" t="s">
        <v>257</v>
      </c>
      <c r="O152">
        <v>120</v>
      </c>
      <c r="P152">
        <v>28.8135593220339</v>
      </c>
      <c r="Q152">
        <v>419</v>
      </c>
      <c r="R152">
        <v>1</v>
      </c>
      <c r="S152">
        <v>49.063400576368899</v>
      </c>
      <c r="T152">
        <f t="shared" si="2"/>
        <v>0.49063400576368899</v>
      </c>
      <c r="U152" t="s">
        <v>221</v>
      </c>
      <c r="V152" t="s">
        <v>48</v>
      </c>
    </row>
    <row r="153" spans="1:22" x14ac:dyDescent="0.25">
      <c r="A153">
        <v>152</v>
      </c>
      <c r="B153" t="s">
        <v>217</v>
      </c>
      <c r="C153" s="2">
        <v>43199</v>
      </c>
      <c r="D153" t="s">
        <v>37</v>
      </c>
      <c r="F153" t="s">
        <v>39</v>
      </c>
      <c r="G153">
        <v>2</v>
      </c>
      <c r="H153" t="s">
        <v>279</v>
      </c>
      <c r="I153" t="s">
        <v>280</v>
      </c>
      <c r="J153" t="s">
        <v>42</v>
      </c>
      <c r="K153" t="s">
        <v>281</v>
      </c>
      <c r="L153" t="s">
        <v>177</v>
      </c>
      <c r="M153" t="s">
        <v>45</v>
      </c>
      <c r="N153" t="s">
        <v>257</v>
      </c>
      <c r="O153">
        <v>120</v>
      </c>
      <c r="P153">
        <v>28.8888888888889</v>
      </c>
      <c r="Q153">
        <v>198.9</v>
      </c>
      <c r="R153">
        <v>1</v>
      </c>
      <c r="S153">
        <v>52.774798927613901</v>
      </c>
      <c r="T153">
        <f t="shared" si="2"/>
        <v>0.52774798927613897</v>
      </c>
      <c r="U153" t="s">
        <v>221</v>
      </c>
      <c r="V153" t="s">
        <v>48</v>
      </c>
    </row>
    <row r="154" spans="1:22" x14ac:dyDescent="0.25">
      <c r="A154">
        <v>153</v>
      </c>
      <c r="B154" t="s">
        <v>217</v>
      </c>
      <c r="C154" s="2">
        <v>43199</v>
      </c>
      <c r="D154" t="s">
        <v>37</v>
      </c>
      <c r="F154" t="s">
        <v>39</v>
      </c>
      <c r="G154">
        <v>2</v>
      </c>
      <c r="H154" t="s">
        <v>282</v>
      </c>
      <c r="I154" t="s">
        <v>283</v>
      </c>
      <c r="J154" t="s">
        <v>42</v>
      </c>
      <c r="K154" t="s">
        <v>284</v>
      </c>
      <c r="L154" t="s">
        <v>285</v>
      </c>
      <c r="M154" t="s">
        <v>101</v>
      </c>
      <c r="N154" t="s">
        <v>257</v>
      </c>
      <c r="O154">
        <v>120</v>
      </c>
      <c r="P154">
        <v>15.525114155251099</v>
      </c>
      <c r="Q154">
        <v>243.4</v>
      </c>
      <c r="R154">
        <v>1</v>
      </c>
      <c r="S154">
        <v>48.246816846229201</v>
      </c>
      <c r="T154">
        <f t="shared" si="2"/>
        <v>0.48246816846229201</v>
      </c>
      <c r="U154" t="s">
        <v>221</v>
      </c>
      <c r="V154" t="s">
        <v>48</v>
      </c>
    </row>
    <row r="155" spans="1:22" x14ac:dyDescent="0.25">
      <c r="A155">
        <v>154</v>
      </c>
      <c r="B155" t="s">
        <v>217</v>
      </c>
      <c r="C155" s="2">
        <v>43199</v>
      </c>
      <c r="D155" t="s">
        <v>37</v>
      </c>
      <c r="F155" t="s">
        <v>39</v>
      </c>
      <c r="G155">
        <v>2</v>
      </c>
      <c r="H155" t="s">
        <v>286</v>
      </c>
      <c r="I155" t="s">
        <v>287</v>
      </c>
      <c r="J155" t="s">
        <v>42</v>
      </c>
      <c r="K155" t="s">
        <v>288</v>
      </c>
      <c r="L155" t="s">
        <v>289</v>
      </c>
      <c r="M155" t="s">
        <v>45</v>
      </c>
      <c r="N155" t="s">
        <v>257</v>
      </c>
      <c r="O155">
        <v>120</v>
      </c>
      <c r="P155">
        <v>38.3333333333333</v>
      </c>
      <c r="Q155">
        <v>249.9</v>
      </c>
      <c r="R155">
        <v>1</v>
      </c>
      <c r="S155">
        <v>58.095238095238102</v>
      </c>
      <c r="T155">
        <f t="shared" si="2"/>
        <v>0.580952380952381</v>
      </c>
      <c r="U155" t="s">
        <v>221</v>
      </c>
      <c r="V155" t="s">
        <v>48</v>
      </c>
    </row>
    <row r="156" spans="1:22" x14ac:dyDescent="0.25">
      <c r="A156">
        <v>155</v>
      </c>
      <c r="B156" t="s">
        <v>217</v>
      </c>
      <c r="C156" s="2">
        <v>43199</v>
      </c>
      <c r="D156" t="s">
        <v>37</v>
      </c>
      <c r="F156" t="s">
        <v>39</v>
      </c>
      <c r="G156">
        <v>2</v>
      </c>
      <c r="H156" t="s">
        <v>290</v>
      </c>
      <c r="I156" t="s">
        <v>291</v>
      </c>
      <c r="J156" t="s">
        <v>42</v>
      </c>
      <c r="K156" t="s">
        <v>292</v>
      </c>
      <c r="L156" t="s">
        <v>293</v>
      </c>
      <c r="M156" t="s">
        <v>101</v>
      </c>
      <c r="N156" t="s">
        <v>294</v>
      </c>
      <c r="O156">
        <v>120</v>
      </c>
      <c r="P156">
        <v>32.938388625592403</v>
      </c>
      <c r="Q156">
        <v>728.6</v>
      </c>
      <c r="R156">
        <v>0</v>
      </c>
      <c r="S156">
        <v>60.225634597304897</v>
      </c>
      <c r="T156">
        <f t="shared" si="2"/>
        <v>0.602256345973049</v>
      </c>
      <c r="U156" t="s">
        <v>221</v>
      </c>
      <c r="V156" t="s">
        <v>295</v>
      </c>
    </row>
    <row r="157" spans="1:22" x14ac:dyDescent="0.25">
      <c r="A157">
        <v>156</v>
      </c>
      <c r="B157" t="s">
        <v>217</v>
      </c>
      <c r="C157" s="2">
        <v>43199</v>
      </c>
      <c r="D157" t="s">
        <v>37</v>
      </c>
      <c r="F157" t="s">
        <v>39</v>
      </c>
      <c r="G157">
        <v>2</v>
      </c>
      <c r="H157" t="s">
        <v>296</v>
      </c>
      <c r="I157" t="s">
        <v>297</v>
      </c>
      <c r="J157" t="s">
        <v>42</v>
      </c>
      <c r="K157" t="s">
        <v>298</v>
      </c>
      <c r="L157" t="s">
        <v>293</v>
      </c>
      <c r="M157" t="s">
        <v>101</v>
      </c>
      <c r="N157" t="s">
        <v>294</v>
      </c>
      <c r="O157">
        <v>30</v>
      </c>
      <c r="P157">
        <v>57.657657657657701</v>
      </c>
      <c r="Q157">
        <v>527.1</v>
      </c>
      <c r="R157">
        <v>0</v>
      </c>
      <c r="S157">
        <v>62.337078651685403</v>
      </c>
      <c r="T157">
        <f t="shared" si="2"/>
        <v>0.62337078651685407</v>
      </c>
      <c r="U157" t="s">
        <v>221</v>
      </c>
      <c r="V157" t="s">
        <v>295</v>
      </c>
    </row>
    <row r="158" spans="1:22" x14ac:dyDescent="0.25">
      <c r="A158">
        <v>157</v>
      </c>
      <c r="B158" t="s">
        <v>217</v>
      </c>
      <c r="C158" s="2">
        <v>43199</v>
      </c>
      <c r="D158" t="s">
        <v>37</v>
      </c>
      <c r="F158" t="s">
        <v>39</v>
      </c>
      <c r="G158">
        <v>2</v>
      </c>
      <c r="H158" t="s">
        <v>299</v>
      </c>
      <c r="I158" t="s">
        <v>300</v>
      </c>
      <c r="J158" t="s">
        <v>42</v>
      </c>
      <c r="K158" t="s">
        <v>301</v>
      </c>
      <c r="L158" t="s">
        <v>302</v>
      </c>
      <c r="M158" t="s">
        <v>45</v>
      </c>
      <c r="N158" t="s">
        <v>294</v>
      </c>
      <c r="O158">
        <v>120</v>
      </c>
      <c r="P158">
        <v>58.510638297872298</v>
      </c>
      <c r="Q158">
        <v>414.3</v>
      </c>
      <c r="R158">
        <v>1</v>
      </c>
      <c r="S158">
        <v>80.577319587628907</v>
      </c>
      <c r="T158">
        <f t="shared" si="2"/>
        <v>0.80577319587628904</v>
      </c>
      <c r="U158" t="s">
        <v>221</v>
      </c>
      <c r="V158" t="s">
        <v>295</v>
      </c>
    </row>
    <row r="159" spans="1:22" x14ac:dyDescent="0.25">
      <c r="A159">
        <v>158</v>
      </c>
      <c r="B159" t="s">
        <v>217</v>
      </c>
      <c r="C159" s="2">
        <v>43199</v>
      </c>
      <c r="D159" t="s">
        <v>37</v>
      </c>
      <c r="F159" t="s">
        <v>39</v>
      </c>
      <c r="G159">
        <v>2</v>
      </c>
      <c r="H159" t="s">
        <v>303</v>
      </c>
      <c r="I159" t="s">
        <v>304</v>
      </c>
      <c r="J159" t="s">
        <v>42</v>
      </c>
      <c r="K159" t="s">
        <v>305</v>
      </c>
      <c r="L159" t="s">
        <v>250</v>
      </c>
      <c r="M159" t="s">
        <v>101</v>
      </c>
      <c r="N159" t="s">
        <v>294</v>
      </c>
      <c r="O159">
        <v>120</v>
      </c>
      <c r="P159">
        <v>32.044198895027598</v>
      </c>
      <c r="Q159">
        <v>598.9</v>
      </c>
      <c r="R159">
        <v>1</v>
      </c>
      <c r="S159">
        <v>52.784883720930203</v>
      </c>
      <c r="T159">
        <f t="shared" si="2"/>
        <v>0.52784883720930198</v>
      </c>
      <c r="U159" t="s">
        <v>221</v>
      </c>
      <c r="V159" t="s">
        <v>295</v>
      </c>
    </row>
    <row r="160" spans="1:22" x14ac:dyDescent="0.25">
      <c r="A160">
        <v>159</v>
      </c>
      <c r="B160" t="s">
        <v>217</v>
      </c>
      <c r="C160" s="2">
        <v>43199</v>
      </c>
      <c r="D160" t="s">
        <v>37</v>
      </c>
      <c r="F160" t="s">
        <v>39</v>
      </c>
      <c r="G160">
        <v>2</v>
      </c>
      <c r="H160" t="s">
        <v>306</v>
      </c>
      <c r="I160" t="s">
        <v>307</v>
      </c>
      <c r="J160" t="s">
        <v>42</v>
      </c>
      <c r="K160" t="s">
        <v>308</v>
      </c>
      <c r="L160" t="s">
        <v>250</v>
      </c>
      <c r="M160" t="s">
        <v>101</v>
      </c>
      <c r="N160" t="s">
        <v>294</v>
      </c>
      <c r="O160">
        <v>23</v>
      </c>
      <c r="P160">
        <v>65.432098765432102</v>
      </c>
      <c r="Q160">
        <v>595.1</v>
      </c>
      <c r="R160">
        <v>0</v>
      </c>
      <c r="S160">
        <v>61.574879227053103</v>
      </c>
      <c r="T160">
        <f t="shared" si="2"/>
        <v>0.61574879227053103</v>
      </c>
      <c r="U160" t="s">
        <v>221</v>
      </c>
      <c r="V160" t="s">
        <v>295</v>
      </c>
    </row>
    <row r="161" spans="1:22" x14ac:dyDescent="0.25">
      <c r="A161">
        <v>160</v>
      </c>
      <c r="B161" t="s">
        <v>217</v>
      </c>
      <c r="C161" s="2">
        <v>43199</v>
      </c>
      <c r="D161" t="s">
        <v>37</v>
      </c>
      <c r="F161" t="s">
        <v>39</v>
      </c>
      <c r="G161">
        <v>2</v>
      </c>
      <c r="H161" t="s">
        <v>309</v>
      </c>
      <c r="I161" t="s">
        <v>310</v>
      </c>
      <c r="J161" t="s">
        <v>42</v>
      </c>
      <c r="K161" t="s">
        <v>311</v>
      </c>
      <c r="L161" t="s">
        <v>250</v>
      </c>
      <c r="M161" t="s">
        <v>101</v>
      </c>
      <c r="N161" t="s">
        <v>294</v>
      </c>
      <c r="O161">
        <v>120</v>
      </c>
      <c r="P161">
        <v>45.689655172413801</v>
      </c>
      <c r="Q161">
        <v>175.1</v>
      </c>
      <c r="R161">
        <v>1</v>
      </c>
      <c r="S161">
        <v>69.606147934678205</v>
      </c>
      <c r="T161">
        <f t="shared" si="2"/>
        <v>0.69606147934678209</v>
      </c>
      <c r="U161" t="s">
        <v>221</v>
      </c>
      <c r="V161" t="s">
        <v>295</v>
      </c>
    </row>
    <row r="162" spans="1:22" x14ac:dyDescent="0.25">
      <c r="A162">
        <v>161</v>
      </c>
      <c r="B162" t="s">
        <v>217</v>
      </c>
      <c r="C162" s="2">
        <v>43199</v>
      </c>
      <c r="D162" t="s">
        <v>37</v>
      </c>
      <c r="F162" t="s">
        <v>39</v>
      </c>
      <c r="G162">
        <v>2</v>
      </c>
      <c r="H162" t="s">
        <v>312</v>
      </c>
      <c r="I162" t="s">
        <v>313</v>
      </c>
      <c r="J162" t="s">
        <v>42</v>
      </c>
      <c r="K162" t="s">
        <v>314</v>
      </c>
      <c r="L162" t="s">
        <v>250</v>
      </c>
      <c r="M162" t="s">
        <v>101</v>
      </c>
      <c r="N162" t="s">
        <v>294</v>
      </c>
      <c r="O162">
        <v>120</v>
      </c>
      <c r="P162">
        <v>36.936936936936902</v>
      </c>
      <c r="Q162">
        <v>618.70000000000005</v>
      </c>
      <c r="R162">
        <v>0</v>
      </c>
      <c r="S162">
        <v>52.2568093385214</v>
      </c>
      <c r="T162">
        <f t="shared" si="2"/>
        <v>0.52256809338521404</v>
      </c>
      <c r="U162" t="s">
        <v>221</v>
      </c>
      <c r="V162" t="s">
        <v>295</v>
      </c>
    </row>
    <row r="163" spans="1:22" x14ac:dyDescent="0.25">
      <c r="A163">
        <v>162</v>
      </c>
      <c r="B163" t="s">
        <v>217</v>
      </c>
      <c r="C163" s="2">
        <v>43199</v>
      </c>
      <c r="D163" t="s">
        <v>37</v>
      </c>
      <c r="F163" t="s">
        <v>39</v>
      </c>
      <c r="G163">
        <v>2</v>
      </c>
      <c r="H163" t="s">
        <v>315</v>
      </c>
      <c r="I163" t="s">
        <v>316</v>
      </c>
      <c r="J163" t="s">
        <v>42</v>
      </c>
      <c r="K163" t="s">
        <v>317</v>
      </c>
      <c r="L163" t="s">
        <v>185</v>
      </c>
      <c r="M163" t="s">
        <v>101</v>
      </c>
      <c r="N163" t="s">
        <v>294</v>
      </c>
      <c r="O163">
        <v>22</v>
      </c>
      <c r="P163">
        <v>50</v>
      </c>
      <c r="Q163">
        <v>719.7</v>
      </c>
      <c r="R163">
        <v>0</v>
      </c>
      <c r="S163">
        <v>53.936545240893103</v>
      </c>
      <c r="T163">
        <f t="shared" si="2"/>
        <v>0.53936545240893108</v>
      </c>
      <c r="U163" t="s">
        <v>221</v>
      </c>
      <c r="V163" t="s">
        <v>295</v>
      </c>
    </row>
    <row r="164" spans="1:22" x14ac:dyDescent="0.25">
      <c r="A164">
        <v>163</v>
      </c>
      <c r="B164" t="s">
        <v>217</v>
      </c>
      <c r="C164" s="2">
        <v>43199</v>
      </c>
      <c r="D164" t="s">
        <v>37</v>
      </c>
      <c r="F164" t="s">
        <v>39</v>
      </c>
      <c r="G164">
        <v>2</v>
      </c>
      <c r="H164" t="s">
        <v>318</v>
      </c>
      <c r="I164" t="s">
        <v>319</v>
      </c>
      <c r="J164" t="s">
        <v>109</v>
      </c>
      <c r="K164" t="s">
        <v>320</v>
      </c>
      <c r="L164" t="s">
        <v>185</v>
      </c>
      <c r="M164" t="s">
        <v>101</v>
      </c>
      <c r="N164" t="s">
        <v>294</v>
      </c>
      <c r="O164">
        <v>27</v>
      </c>
      <c r="P164">
        <v>36.734693877551003</v>
      </c>
      <c r="Q164">
        <v>526.29999999999995</v>
      </c>
      <c r="R164">
        <v>0</v>
      </c>
      <c r="S164">
        <v>45.9375</v>
      </c>
      <c r="T164">
        <f t="shared" si="2"/>
        <v>0.45937499999999998</v>
      </c>
      <c r="U164" t="s">
        <v>221</v>
      </c>
      <c r="V164" t="s">
        <v>295</v>
      </c>
    </row>
    <row r="165" spans="1:22" x14ac:dyDescent="0.25">
      <c r="A165">
        <v>164</v>
      </c>
      <c r="B165" t="s">
        <v>217</v>
      </c>
      <c r="C165" s="2">
        <v>43199</v>
      </c>
      <c r="D165" t="s">
        <v>37</v>
      </c>
      <c r="F165" t="s">
        <v>39</v>
      </c>
      <c r="G165">
        <v>2</v>
      </c>
      <c r="H165" t="s">
        <v>321</v>
      </c>
      <c r="I165" t="s">
        <v>322</v>
      </c>
      <c r="J165" t="s">
        <v>42</v>
      </c>
      <c r="K165" t="s">
        <v>323</v>
      </c>
      <c r="L165" t="s">
        <v>185</v>
      </c>
      <c r="M165" t="s">
        <v>101</v>
      </c>
      <c r="N165" t="s">
        <v>294</v>
      </c>
      <c r="O165">
        <v>120</v>
      </c>
      <c r="P165">
        <v>36</v>
      </c>
      <c r="Q165">
        <v>537.1</v>
      </c>
      <c r="R165">
        <v>1</v>
      </c>
      <c r="S165">
        <v>51.868131868131897</v>
      </c>
      <c r="T165">
        <f t="shared" si="2"/>
        <v>0.51868131868131895</v>
      </c>
      <c r="U165" t="s">
        <v>221</v>
      </c>
      <c r="V165" t="s">
        <v>295</v>
      </c>
    </row>
    <row r="166" spans="1:22" x14ac:dyDescent="0.25">
      <c r="A166">
        <v>165</v>
      </c>
      <c r="B166" t="s">
        <v>217</v>
      </c>
      <c r="C166" s="2">
        <v>43228</v>
      </c>
      <c r="D166" t="s">
        <v>37</v>
      </c>
      <c r="F166" t="s">
        <v>39</v>
      </c>
      <c r="G166">
        <v>3</v>
      </c>
      <c r="H166" t="s">
        <v>218</v>
      </c>
      <c r="I166" t="s">
        <v>219</v>
      </c>
      <c r="J166" t="s">
        <v>42</v>
      </c>
      <c r="K166" t="s">
        <v>220</v>
      </c>
      <c r="L166" t="s">
        <v>44</v>
      </c>
      <c r="M166" t="s">
        <v>45</v>
      </c>
      <c r="N166" t="s">
        <v>46</v>
      </c>
      <c r="O166">
        <v>40</v>
      </c>
      <c r="P166">
        <v>65.2173913043478</v>
      </c>
      <c r="Q166">
        <v>558.5</v>
      </c>
      <c r="R166">
        <v>0</v>
      </c>
      <c r="S166">
        <v>53.422370617696203</v>
      </c>
      <c r="T166">
        <f t="shared" si="2"/>
        <v>0.53422370617696202</v>
      </c>
      <c r="U166" t="s">
        <v>221</v>
      </c>
      <c r="V166" t="s">
        <v>48</v>
      </c>
    </row>
    <row r="167" spans="1:22" x14ac:dyDescent="0.25">
      <c r="A167">
        <v>166</v>
      </c>
      <c r="B167" t="s">
        <v>217</v>
      </c>
      <c r="C167" s="2">
        <v>43228</v>
      </c>
      <c r="D167" t="s">
        <v>37</v>
      </c>
      <c r="F167" t="s">
        <v>39</v>
      </c>
      <c r="G167">
        <v>3</v>
      </c>
      <c r="H167" t="s">
        <v>222</v>
      </c>
      <c r="I167" t="s">
        <v>223</v>
      </c>
      <c r="J167" t="s">
        <v>42</v>
      </c>
      <c r="K167" t="s">
        <v>224</v>
      </c>
      <c r="L167" t="s">
        <v>225</v>
      </c>
      <c r="M167" t="s">
        <v>45</v>
      </c>
      <c r="N167" t="s">
        <v>46</v>
      </c>
      <c r="O167">
        <v>52</v>
      </c>
      <c r="P167">
        <v>68.181818181818201</v>
      </c>
      <c r="Q167">
        <v>646.29999999999995</v>
      </c>
      <c r="R167">
        <v>0</v>
      </c>
      <c r="S167">
        <v>48.455284552845498</v>
      </c>
      <c r="T167">
        <f t="shared" si="2"/>
        <v>0.48455284552845496</v>
      </c>
      <c r="U167" t="s">
        <v>221</v>
      </c>
      <c r="V167" t="s">
        <v>48</v>
      </c>
    </row>
    <row r="168" spans="1:22" x14ac:dyDescent="0.25">
      <c r="A168">
        <v>167</v>
      </c>
      <c r="B168" t="s">
        <v>217</v>
      </c>
      <c r="C168" s="2">
        <v>43228</v>
      </c>
      <c r="D168" t="s">
        <v>37</v>
      </c>
      <c r="F168" t="s">
        <v>39</v>
      </c>
      <c r="G168">
        <v>3</v>
      </c>
      <c r="H168" t="s">
        <v>226</v>
      </c>
      <c r="I168" t="s">
        <v>227</v>
      </c>
      <c r="J168" t="s">
        <v>42</v>
      </c>
      <c r="K168" t="s">
        <v>228</v>
      </c>
      <c r="L168" t="s">
        <v>225</v>
      </c>
      <c r="M168" t="s">
        <v>45</v>
      </c>
      <c r="N168" t="s">
        <v>46</v>
      </c>
      <c r="O168">
        <v>11</v>
      </c>
      <c r="P168">
        <v>83.3333333333333</v>
      </c>
      <c r="Q168">
        <v>613</v>
      </c>
      <c r="R168">
        <v>0</v>
      </c>
      <c r="S168">
        <v>48.366834170854297</v>
      </c>
      <c r="T168">
        <f t="shared" si="2"/>
        <v>0.48366834170854295</v>
      </c>
      <c r="U168" t="s">
        <v>221</v>
      </c>
      <c r="V168" t="s">
        <v>48</v>
      </c>
    </row>
    <row r="169" spans="1:22" x14ac:dyDescent="0.25">
      <c r="A169">
        <v>168</v>
      </c>
      <c r="B169" t="s">
        <v>217</v>
      </c>
      <c r="C169" s="2">
        <v>43228</v>
      </c>
      <c r="D169" t="s">
        <v>37</v>
      </c>
      <c r="F169" t="s">
        <v>39</v>
      </c>
      <c r="G169">
        <v>3</v>
      </c>
      <c r="H169" t="s">
        <v>229</v>
      </c>
      <c r="I169" t="s">
        <v>230</v>
      </c>
      <c r="J169" t="s">
        <v>42</v>
      </c>
      <c r="K169" t="s">
        <v>231</v>
      </c>
      <c r="L169" t="s">
        <v>232</v>
      </c>
      <c r="M169" t="s">
        <v>45</v>
      </c>
      <c r="N169" t="s">
        <v>46</v>
      </c>
      <c r="O169">
        <v>37</v>
      </c>
      <c r="P169">
        <v>40</v>
      </c>
      <c r="Q169">
        <v>440.9</v>
      </c>
      <c r="R169">
        <v>0</v>
      </c>
      <c r="S169">
        <v>56.1357702349869</v>
      </c>
      <c r="T169">
        <f t="shared" si="2"/>
        <v>0.56135770234986904</v>
      </c>
      <c r="U169" t="s">
        <v>221</v>
      </c>
      <c r="V169" t="s">
        <v>48</v>
      </c>
    </row>
    <row r="170" spans="1:22" x14ac:dyDescent="0.25">
      <c r="A170">
        <v>169</v>
      </c>
      <c r="B170" t="s">
        <v>217</v>
      </c>
      <c r="C170" s="2">
        <v>43228</v>
      </c>
      <c r="D170" t="s">
        <v>37</v>
      </c>
      <c r="F170" t="s">
        <v>39</v>
      </c>
      <c r="G170">
        <v>3</v>
      </c>
      <c r="H170" t="s">
        <v>233</v>
      </c>
      <c r="I170" t="s">
        <v>234</v>
      </c>
      <c r="J170" t="s">
        <v>42</v>
      </c>
      <c r="K170" t="s">
        <v>235</v>
      </c>
      <c r="L170" t="s">
        <v>232</v>
      </c>
      <c r="M170" t="s">
        <v>45</v>
      </c>
      <c r="N170" t="s">
        <v>46</v>
      </c>
      <c r="O170">
        <v>73</v>
      </c>
      <c r="P170">
        <v>69.421487603305806</v>
      </c>
      <c r="Q170">
        <v>689.1</v>
      </c>
      <c r="R170">
        <v>0</v>
      </c>
      <c r="S170">
        <v>63.1111111111111</v>
      </c>
      <c r="T170">
        <f t="shared" si="2"/>
        <v>0.63111111111111096</v>
      </c>
      <c r="U170" t="s">
        <v>221</v>
      </c>
      <c r="V170" t="s">
        <v>48</v>
      </c>
    </row>
    <row r="171" spans="1:22" x14ac:dyDescent="0.25">
      <c r="A171">
        <v>170</v>
      </c>
      <c r="B171" t="s">
        <v>217</v>
      </c>
      <c r="C171" s="2">
        <v>43228</v>
      </c>
      <c r="D171" t="s">
        <v>37</v>
      </c>
      <c r="F171" t="s">
        <v>39</v>
      </c>
      <c r="G171">
        <v>3</v>
      </c>
      <c r="H171" t="s">
        <v>236</v>
      </c>
      <c r="I171" t="s">
        <v>237</v>
      </c>
      <c r="J171" t="s">
        <v>42</v>
      </c>
      <c r="K171" t="s">
        <v>238</v>
      </c>
      <c r="L171" t="s">
        <v>239</v>
      </c>
      <c r="M171" t="s">
        <v>45</v>
      </c>
      <c r="N171" t="s">
        <v>46</v>
      </c>
      <c r="O171">
        <v>120</v>
      </c>
      <c r="P171">
        <v>64.516129032258107</v>
      </c>
      <c r="Q171">
        <v>460.6</v>
      </c>
      <c r="R171">
        <v>1</v>
      </c>
      <c r="S171">
        <v>47.240259740259702</v>
      </c>
      <c r="T171">
        <f t="shared" si="2"/>
        <v>0.47240259740259705</v>
      </c>
      <c r="U171" t="s">
        <v>221</v>
      </c>
      <c r="V171" t="s">
        <v>48</v>
      </c>
    </row>
    <row r="172" spans="1:22" x14ac:dyDescent="0.25">
      <c r="A172">
        <v>171</v>
      </c>
      <c r="B172" t="s">
        <v>217</v>
      </c>
      <c r="C172" s="2">
        <v>43228</v>
      </c>
      <c r="D172" t="s">
        <v>37</v>
      </c>
      <c r="F172" t="s">
        <v>39</v>
      </c>
      <c r="G172">
        <v>3</v>
      </c>
      <c r="H172" t="s">
        <v>240</v>
      </c>
      <c r="I172" t="s">
        <v>241</v>
      </c>
      <c r="J172" t="s">
        <v>42</v>
      </c>
      <c r="K172" t="s">
        <v>242</v>
      </c>
      <c r="L172" t="s">
        <v>111</v>
      </c>
      <c r="M172" t="s">
        <v>45</v>
      </c>
      <c r="N172" t="s">
        <v>46</v>
      </c>
      <c r="O172">
        <v>84</v>
      </c>
      <c r="P172">
        <v>51.456310679611597</v>
      </c>
      <c r="Q172">
        <v>585.20000000000005</v>
      </c>
      <c r="R172">
        <v>1</v>
      </c>
      <c r="S172">
        <v>52.159187129551199</v>
      </c>
      <c r="T172">
        <f t="shared" si="2"/>
        <v>0.52159187129551199</v>
      </c>
      <c r="U172" t="s">
        <v>221</v>
      </c>
      <c r="V172" t="s">
        <v>48</v>
      </c>
    </row>
    <row r="173" spans="1:22" x14ac:dyDescent="0.25">
      <c r="A173">
        <v>172</v>
      </c>
      <c r="B173" t="s">
        <v>217</v>
      </c>
      <c r="C173" s="2">
        <v>43228</v>
      </c>
      <c r="D173" t="s">
        <v>37</v>
      </c>
      <c r="F173" t="s">
        <v>39</v>
      </c>
      <c r="G173">
        <v>3</v>
      </c>
      <c r="H173" t="s">
        <v>243</v>
      </c>
      <c r="I173" t="s">
        <v>244</v>
      </c>
      <c r="J173" t="s">
        <v>42</v>
      </c>
      <c r="K173" t="s">
        <v>245</v>
      </c>
      <c r="L173" t="s">
        <v>246</v>
      </c>
      <c r="M173" t="s">
        <v>45</v>
      </c>
      <c r="N173" t="s">
        <v>46</v>
      </c>
      <c r="O173">
        <v>51</v>
      </c>
      <c r="P173">
        <v>67.213114754098399</v>
      </c>
      <c r="Q173">
        <v>580.6</v>
      </c>
      <c r="R173">
        <v>0</v>
      </c>
      <c r="S173">
        <v>47.034482758620697</v>
      </c>
      <c r="T173">
        <f t="shared" si="2"/>
        <v>0.47034482758620699</v>
      </c>
      <c r="U173" t="s">
        <v>221</v>
      </c>
      <c r="V173" t="s">
        <v>48</v>
      </c>
    </row>
    <row r="174" spans="1:22" x14ac:dyDescent="0.25">
      <c r="A174">
        <v>173</v>
      </c>
      <c r="B174" t="s">
        <v>217</v>
      </c>
      <c r="C174" s="2">
        <v>43228</v>
      </c>
      <c r="D174" t="s">
        <v>37</v>
      </c>
      <c r="F174" t="s">
        <v>39</v>
      </c>
      <c r="G174">
        <v>3</v>
      </c>
      <c r="H174" t="s">
        <v>247</v>
      </c>
      <c r="I174" t="s">
        <v>248</v>
      </c>
      <c r="J174" t="s">
        <v>42</v>
      </c>
      <c r="K174" t="s">
        <v>249</v>
      </c>
      <c r="L174" t="s">
        <v>250</v>
      </c>
      <c r="M174" t="s">
        <v>45</v>
      </c>
      <c r="N174" t="s">
        <v>46</v>
      </c>
      <c r="O174">
        <v>32</v>
      </c>
      <c r="P174">
        <v>54.0983606557377</v>
      </c>
      <c r="Q174">
        <v>574.5</v>
      </c>
      <c r="R174">
        <v>1</v>
      </c>
      <c r="S174">
        <v>47.681159420289902</v>
      </c>
      <c r="T174">
        <f t="shared" si="2"/>
        <v>0.47681159420289904</v>
      </c>
      <c r="U174" t="s">
        <v>221</v>
      </c>
      <c r="V174" t="s">
        <v>48</v>
      </c>
    </row>
    <row r="175" spans="1:22" x14ac:dyDescent="0.25">
      <c r="A175">
        <v>174</v>
      </c>
      <c r="B175" t="s">
        <v>217</v>
      </c>
      <c r="C175" s="2">
        <v>43228</v>
      </c>
      <c r="D175" t="s">
        <v>37</v>
      </c>
      <c r="F175" t="s">
        <v>39</v>
      </c>
      <c r="G175">
        <v>2</v>
      </c>
      <c r="H175" t="s">
        <v>251</v>
      </c>
      <c r="I175" t="s">
        <v>252</v>
      </c>
      <c r="J175" t="s">
        <v>42</v>
      </c>
      <c r="K175" t="s">
        <v>253</v>
      </c>
      <c r="L175" t="s">
        <v>59</v>
      </c>
      <c r="M175" t="s">
        <v>45</v>
      </c>
      <c r="N175" t="s">
        <v>46</v>
      </c>
      <c r="O175">
        <v>96</v>
      </c>
      <c r="P175">
        <v>38.364779874213802</v>
      </c>
      <c r="Q175">
        <v>645.6</v>
      </c>
      <c r="R175">
        <v>1</v>
      </c>
      <c r="S175">
        <v>58.927519151443697</v>
      </c>
      <c r="T175">
        <f t="shared" si="2"/>
        <v>0.58927519151443697</v>
      </c>
      <c r="U175" t="s">
        <v>221</v>
      </c>
      <c r="V175" t="s">
        <v>48</v>
      </c>
    </row>
    <row r="176" spans="1:22" x14ac:dyDescent="0.25">
      <c r="A176">
        <v>175</v>
      </c>
      <c r="B176" t="s">
        <v>217</v>
      </c>
      <c r="C176" s="2">
        <v>43228</v>
      </c>
      <c r="D176" t="s">
        <v>37</v>
      </c>
      <c r="F176" t="s">
        <v>39</v>
      </c>
      <c r="G176">
        <v>3</v>
      </c>
      <c r="H176" t="s">
        <v>254</v>
      </c>
      <c r="I176" t="s">
        <v>255</v>
      </c>
      <c r="J176" t="s">
        <v>42</v>
      </c>
      <c r="K176" t="s">
        <v>256</v>
      </c>
      <c r="L176" t="s">
        <v>177</v>
      </c>
      <c r="M176" t="s">
        <v>101</v>
      </c>
      <c r="N176" t="s">
        <v>257</v>
      </c>
      <c r="O176">
        <v>120</v>
      </c>
      <c r="P176">
        <v>47.535211267605597</v>
      </c>
      <c r="Q176">
        <v>432.2</v>
      </c>
      <c r="R176">
        <v>1</v>
      </c>
      <c r="S176">
        <v>61.1729019211324</v>
      </c>
      <c r="T176">
        <f t="shared" si="2"/>
        <v>0.61172901921132405</v>
      </c>
      <c r="U176" t="s">
        <v>221</v>
      </c>
      <c r="V176" t="s">
        <v>48</v>
      </c>
    </row>
    <row r="177" spans="1:22" x14ac:dyDescent="0.25">
      <c r="A177">
        <v>176</v>
      </c>
      <c r="B177" t="s">
        <v>217</v>
      </c>
      <c r="C177" s="2">
        <v>43228</v>
      </c>
      <c r="D177" t="s">
        <v>37</v>
      </c>
      <c r="F177" t="s">
        <v>39</v>
      </c>
      <c r="G177">
        <v>3</v>
      </c>
      <c r="H177" t="s">
        <v>258</v>
      </c>
      <c r="I177" t="s">
        <v>259</v>
      </c>
      <c r="J177" t="s">
        <v>42</v>
      </c>
      <c r="K177" t="s">
        <v>260</v>
      </c>
      <c r="L177" t="s">
        <v>261</v>
      </c>
      <c r="M177" t="s">
        <v>45</v>
      </c>
      <c r="N177" t="s">
        <v>257</v>
      </c>
      <c r="O177">
        <v>120</v>
      </c>
      <c r="P177">
        <v>70.955882352941202</v>
      </c>
      <c r="Q177">
        <v>753.8</v>
      </c>
      <c r="R177">
        <v>0</v>
      </c>
      <c r="S177">
        <v>56.574621959237298</v>
      </c>
      <c r="T177">
        <f t="shared" si="2"/>
        <v>0.56574621959237303</v>
      </c>
      <c r="U177" t="s">
        <v>221</v>
      </c>
      <c r="V177" t="s">
        <v>48</v>
      </c>
    </row>
    <row r="178" spans="1:22" x14ac:dyDescent="0.25">
      <c r="A178">
        <v>177</v>
      </c>
      <c r="B178" t="s">
        <v>217</v>
      </c>
      <c r="C178" s="2">
        <v>43228</v>
      </c>
      <c r="D178" t="s">
        <v>37</v>
      </c>
      <c r="F178" t="s">
        <v>39</v>
      </c>
      <c r="G178">
        <v>3</v>
      </c>
      <c r="H178" t="s">
        <v>262</v>
      </c>
      <c r="I178" t="s">
        <v>263</v>
      </c>
      <c r="J178" t="s">
        <v>42</v>
      </c>
      <c r="K178" t="s">
        <v>264</v>
      </c>
      <c r="L178" t="s">
        <v>111</v>
      </c>
      <c r="M178" t="s">
        <v>101</v>
      </c>
      <c r="N178" t="s">
        <v>257</v>
      </c>
      <c r="O178">
        <v>120</v>
      </c>
      <c r="P178">
        <v>67.796610169491501</v>
      </c>
      <c r="Q178">
        <v>539.1</v>
      </c>
      <c r="R178">
        <v>1</v>
      </c>
      <c r="S178">
        <v>56</v>
      </c>
      <c r="T178">
        <f t="shared" si="2"/>
        <v>0.56000000000000005</v>
      </c>
      <c r="U178" t="s">
        <v>221</v>
      </c>
      <c r="V178" t="s">
        <v>48</v>
      </c>
    </row>
    <row r="179" spans="1:22" x14ac:dyDescent="0.25">
      <c r="A179">
        <v>178</v>
      </c>
      <c r="B179" t="s">
        <v>217</v>
      </c>
      <c r="C179" s="2">
        <v>43228</v>
      </c>
      <c r="D179" t="s">
        <v>37</v>
      </c>
      <c r="F179" t="s">
        <v>39</v>
      </c>
      <c r="G179">
        <v>3</v>
      </c>
      <c r="H179" t="s">
        <v>265</v>
      </c>
      <c r="I179" t="s">
        <v>266</v>
      </c>
      <c r="J179" t="s">
        <v>42</v>
      </c>
      <c r="K179" t="s">
        <v>267</v>
      </c>
      <c r="L179" t="s">
        <v>268</v>
      </c>
      <c r="M179" t="s">
        <v>45</v>
      </c>
      <c r="N179" t="s">
        <v>257</v>
      </c>
      <c r="O179">
        <v>120</v>
      </c>
      <c r="P179">
        <v>52.352941176470601</v>
      </c>
      <c r="Q179">
        <v>716.2</v>
      </c>
      <c r="R179">
        <v>1</v>
      </c>
      <c r="S179">
        <v>69.106566200215298</v>
      </c>
      <c r="T179">
        <f t="shared" si="2"/>
        <v>0.69106566200215302</v>
      </c>
      <c r="U179" t="s">
        <v>221</v>
      </c>
      <c r="V179" t="s">
        <v>48</v>
      </c>
    </row>
    <row r="180" spans="1:22" x14ac:dyDescent="0.25">
      <c r="A180">
        <v>179</v>
      </c>
      <c r="B180" t="s">
        <v>217</v>
      </c>
      <c r="C180" s="2">
        <v>43228</v>
      </c>
      <c r="D180" t="s">
        <v>37</v>
      </c>
      <c r="F180" t="s">
        <v>39</v>
      </c>
      <c r="G180">
        <v>3</v>
      </c>
      <c r="H180" t="s">
        <v>269</v>
      </c>
      <c r="I180" t="s">
        <v>270</v>
      </c>
      <c r="J180" t="s">
        <v>42</v>
      </c>
      <c r="K180" t="s">
        <v>271</v>
      </c>
      <c r="L180" t="s">
        <v>111</v>
      </c>
      <c r="M180" t="s">
        <v>45</v>
      </c>
      <c r="N180" t="s">
        <v>257</v>
      </c>
      <c r="O180">
        <v>120</v>
      </c>
      <c r="P180">
        <v>48.717948717948701</v>
      </c>
      <c r="Q180">
        <v>413.8</v>
      </c>
      <c r="R180">
        <v>1</v>
      </c>
      <c r="S180">
        <v>67.070217917675507</v>
      </c>
      <c r="T180">
        <f t="shared" si="2"/>
        <v>0.67070217917675512</v>
      </c>
      <c r="U180" t="s">
        <v>221</v>
      </c>
      <c r="V180" t="s">
        <v>48</v>
      </c>
    </row>
    <row r="181" spans="1:22" x14ac:dyDescent="0.25">
      <c r="A181">
        <v>180</v>
      </c>
      <c r="B181" t="s">
        <v>217</v>
      </c>
      <c r="C181" s="2">
        <v>43228</v>
      </c>
      <c r="D181" t="s">
        <v>37</v>
      </c>
      <c r="F181" t="s">
        <v>39</v>
      </c>
      <c r="G181">
        <v>3</v>
      </c>
      <c r="H181" t="s">
        <v>272</v>
      </c>
      <c r="I181" t="s">
        <v>273</v>
      </c>
      <c r="J181" t="s">
        <v>42</v>
      </c>
      <c r="K181" t="s">
        <v>274</v>
      </c>
      <c r="L181" t="s">
        <v>275</v>
      </c>
      <c r="M181" t="s">
        <v>101</v>
      </c>
      <c r="N181" t="s">
        <v>257</v>
      </c>
      <c r="O181">
        <v>120</v>
      </c>
      <c r="P181">
        <v>36.746987951807199</v>
      </c>
      <c r="Q181">
        <v>536.4</v>
      </c>
      <c r="R181">
        <v>1</v>
      </c>
      <c r="S181">
        <v>49.408404732762101</v>
      </c>
      <c r="T181">
        <f t="shared" si="2"/>
        <v>0.49408404732762101</v>
      </c>
      <c r="U181" t="s">
        <v>221</v>
      </c>
      <c r="V181" t="s">
        <v>48</v>
      </c>
    </row>
    <row r="182" spans="1:22" x14ac:dyDescent="0.25">
      <c r="A182">
        <v>181</v>
      </c>
      <c r="B182" t="s">
        <v>217</v>
      </c>
      <c r="C182" s="2">
        <v>43228</v>
      </c>
      <c r="D182" t="s">
        <v>37</v>
      </c>
      <c r="F182" t="s">
        <v>39</v>
      </c>
      <c r="G182">
        <v>3</v>
      </c>
      <c r="H182" t="s">
        <v>276</v>
      </c>
      <c r="I182" t="s">
        <v>277</v>
      </c>
      <c r="J182" t="s">
        <v>42</v>
      </c>
      <c r="K182" t="s">
        <v>278</v>
      </c>
      <c r="L182" t="s">
        <v>177</v>
      </c>
      <c r="M182" t="s">
        <v>101</v>
      </c>
      <c r="N182" t="s">
        <v>257</v>
      </c>
      <c r="O182">
        <v>120</v>
      </c>
      <c r="P182">
        <v>68.461538461538495</v>
      </c>
      <c r="Q182">
        <v>674.2</v>
      </c>
      <c r="R182">
        <v>1</v>
      </c>
      <c r="S182">
        <v>52.005730659025801</v>
      </c>
      <c r="T182">
        <f t="shared" si="2"/>
        <v>0.52005730659025806</v>
      </c>
      <c r="U182" t="s">
        <v>221</v>
      </c>
      <c r="V182" t="s">
        <v>48</v>
      </c>
    </row>
    <row r="183" spans="1:22" x14ac:dyDescent="0.25">
      <c r="A183">
        <v>182</v>
      </c>
      <c r="B183" t="s">
        <v>217</v>
      </c>
      <c r="C183" s="2">
        <v>43228</v>
      </c>
      <c r="D183" t="s">
        <v>37</v>
      </c>
      <c r="F183" t="s">
        <v>39</v>
      </c>
      <c r="G183">
        <v>3</v>
      </c>
      <c r="H183" t="s">
        <v>279</v>
      </c>
      <c r="I183" t="s">
        <v>280</v>
      </c>
      <c r="J183" t="s">
        <v>42</v>
      </c>
      <c r="K183" t="s">
        <v>281</v>
      </c>
      <c r="L183" t="s">
        <v>177</v>
      </c>
      <c r="M183" t="s">
        <v>45</v>
      </c>
      <c r="N183" t="s">
        <v>257</v>
      </c>
      <c r="O183">
        <v>120</v>
      </c>
      <c r="P183">
        <v>35.766423357664202</v>
      </c>
      <c r="Q183">
        <v>206.4</v>
      </c>
      <c r="R183">
        <v>1</v>
      </c>
      <c r="S183">
        <v>58.088235294117702</v>
      </c>
      <c r="T183">
        <f t="shared" si="2"/>
        <v>0.58088235294117707</v>
      </c>
      <c r="U183" t="s">
        <v>221</v>
      </c>
      <c r="V183" t="s">
        <v>48</v>
      </c>
    </row>
    <row r="184" spans="1:22" x14ac:dyDescent="0.25">
      <c r="A184">
        <v>183</v>
      </c>
      <c r="B184" t="s">
        <v>217</v>
      </c>
      <c r="C184" s="2">
        <v>43228</v>
      </c>
      <c r="D184" t="s">
        <v>37</v>
      </c>
      <c r="F184" t="s">
        <v>39</v>
      </c>
      <c r="G184">
        <v>3</v>
      </c>
      <c r="H184" t="s">
        <v>282</v>
      </c>
      <c r="I184" t="s">
        <v>283</v>
      </c>
      <c r="J184" t="s">
        <v>42</v>
      </c>
      <c r="K184" t="s">
        <v>284</v>
      </c>
      <c r="L184" t="s">
        <v>285</v>
      </c>
      <c r="M184" t="s">
        <v>101</v>
      </c>
      <c r="N184" t="s">
        <v>257</v>
      </c>
      <c r="O184">
        <v>120</v>
      </c>
      <c r="P184">
        <v>43.820224719101098</v>
      </c>
      <c r="Q184">
        <v>494.5</v>
      </c>
      <c r="R184">
        <v>1</v>
      </c>
      <c r="S184">
        <v>50.945179584121</v>
      </c>
      <c r="T184">
        <f t="shared" si="2"/>
        <v>0.50945179584121003</v>
      </c>
      <c r="U184" t="s">
        <v>221</v>
      </c>
      <c r="V184" t="s">
        <v>48</v>
      </c>
    </row>
    <row r="185" spans="1:22" x14ac:dyDescent="0.25">
      <c r="A185">
        <v>184</v>
      </c>
      <c r="B185" t="s">
        <v>217</v>
      </c>
      <c r="C185" s="2">
        <v>43228</v>
      </c>
      <c r="D185" t="s">
        <v>37</v>
      </c>
      <c r="F185" t="s">
        <v>39</v>
      </c>
      <c r="G185">
        <v>3</v>
      </c>
      <c r="H185" t="s">
        <v>286</v>
      </c>
      <c r="I185" t="s">
        <v>287</v>
      </c>
      <c r="J185" t="s">
        <v>42</v>
      </c>
      <c r="K185" t="s">
        <v>288</v>
      </c>
      <c r="L185" t="s">
        <v>289</v>
      </c>
      <c r="M185" t="s">
        <v>45</v>
      </c>
      <c r="N185" t="s">
        <v>257</v>
      </c>
      <c r="O185">
        <v>120</v>
      </c>
      <c r="P185">
        <v>53.846153846153797</v>
      </c>
      <c r="Q185">
        <v>665.9</v>
      </c>
      <c r="R185">
        <v>1</v>
      </c>
      <c r="S185">
        <v>53.905191873589203</v>
      </c>
      <c r="T185">
        <f t="shared" si="2"/>
        <v>0.53905191873589198</v>
      </c>
      <c r="U185" t="s">
        <v>221</v>
      </c>
      <c r="V185" t="s">
        <v>48</v>
      </c>
    </row>
    <row r="186" spans="1:22" x14ac:dyDescent="0.25">
      <c r="A186">
        <v>185</v>
      </c>
      <c r="B186" t="s">
        <v>217</v>
      </c>
      <c r="C186" s="2">
        <v>43228</v>
      </c>
      <c r="D186" t="s">
        <v>37</v>
      </c>
      <c r="F186" t="s">
        <v>39</v>
      </c>
      <c r="G186">
        <v>3</v>
      </c>
      <c r="H186" t="s">
        <v>290</v>
      </c>
      <c r="I186" t="s">
        <v>291</v>
      </c>
      <c r="J186" t="s">
        <v>42</v>
      </c>
      <c r="K186" t="s">
        <v>292</v>
      </c>
      <c r="L186" t="s">
        <v>293</v>
      </c>
      <c r="M186" t="s">
        <v>101</v>
      </c>
      <c r="N186" t="s">
        <v>294</v>
      </c>
      <c r="O186">
        <v>63</v>
      </c>
      <c r="P186">
        <v>76.898734177215204</v>
      </c>
      <c r="Q186">
        <v>697.4</v>
      </c>
      <c r="R186">
        <v>0</v>
      </c>
      <c r="S186">
        <v>60.748476936466503</v>
      </c>
      <c r="T186">
        <f t="shared" si="2"/>
        <v>0.607484769364665</v>
      </c>
      <c r="U186" t="s">
        <v>221</v>
      </c>
      <c r="V186" t="s">
        <v>295</v>
      </c>
    </row>
    <row r="187" spans="1:22" x14ac:dyDescent="0.25">
      <c r="A187">
        <v>186</v>
      </c>
      <c r="B187" t="s">
        <v>217</v>
      </c>
      <c r="C187" s="2">
        <v>43228</v>
      </c>
      <c r="D187" t="s">
        <v>37</v>
      </c>
      <c r="F187" t="s">
        <v>39</v>
      </c>
      <c r="G187">
        <v>3</v>
      </c>
      <c r="H187" t="s">
        <v>296</v>
      </c>
      <c r="I187" t="s">
        <v>297</v>
      </c>
      <c r="J187" t="s">
        <v>42</v>
      </c>
      <c r="K187" t="s">
        <v>298</v>
      </c>
      <c r="L187" t="s">
        <v>293</v>
      </c>
      <c r="M187" t="s">
        <v>101</v>
      </c>
      <c r="N187" t="s">
        <v>294</v>
      </c>
      <c r="O187">
        <v>35</v>
      </c>
      <c r="P187">
        <v>42.307692307692299</v>
      </c>
      <c r="Q187">
        <v>543.29999999999995</v>
      </c>
      <c r="R187">
        <v>0</v>
      </c>
      <c r="S187">
        <v>66.036363636363603</v>
      </c>
      <c r="T187">
        <f t="shared" si="2"/>
        <v>0.66036363636363604</v>
      </c>
      <c r="U187" t="s">
        <v>221</v>
      </c>
      <c r="V187" t="s">
        <v>295</v>
      </c>
    </row>
    <row r="188" spans="1:22" x14ac:dyDescent="0.25">
      <c r="A188">
        <v>187</v>
      </c>
      <c r="B188" t="s">
        <v>217</v>
      </c>
      <c r="C188" s="2">
        <v>43228</v>
      </c>
      <c r="D188" t="s">
        <v>37</v>
      </c>
      <c r="F188" t="s">
        <v>39</v>
      </c>
      <c r="G188">
        <v>3</v>
      </c>
      <c r="H188" t="s">
        <v>299</v>
      </c>
      <c r="I188" t="s">
        <v>300</v>
      </c>
      <c r="J188" t="s">
        <v>42</v>
      </c>
      <c r="K188" t="s">
        <v>301</v>
      </c>
      <c r="L188" t="s">
        <v>302</v>
      </c>
      <c r="M188" t="s">
        <v>45</v>
      </c>
      <c r="N188" t="s">
        <v>294</v>
      </c>
      <c r="O188">
        <v>40</v>
      </c>
      <c r="P188">
        <v>57.342657342657297</v>
      </c>
      <c r="Q188">
        <v>491.3</v>
      </c>
      <c r="R188">
        <v>1</v>
      </c>
      <c r="S188">
        <v>78.325688073394502</v>
      </c>
      <c r="T188">
        <f t="shared" si="2"/>
        <v>0.78325688073394506</v>
      </c>
      <c r="U188" t="s">
        <v>221</v>
      </c>
      <c r="V188" t="s">
        <v>295</v>
      </c>
    </row>
    <row r="189" spans="1:22" x14ac:dyDescent="0.25">
      <c r="A189">
        <v>188</v>
      </c>
      <c r="B189" t="s">
        <v>217</v>
      </c>
      <c r="C189" s="2">
        <v>43228</v>
      </c>
      <c r="D189" t="s">
        <v>37</v>
      </c>
      <c r="F189" t="s">
        <v>39</v>
      </c>
      <c r="G189">
        <v>3</v>
      </c>
      <c r="H189" t="s">
        <v>303</v>
      </c>
      <c r="I189" t="s">
        <v>304</v>
      </c>
      <c r="J189" t="s">
        <v>42</v>
      </c>
      <c r="K189" t="s">
        <v>305</v>
      </c>
      <c r="L189" t="s">
        <v>250</v>
      </c>
      <c r="M189" t="s">
        <v>101</v>
      </c>
      <c r="N189" t="s">
        <v>294</v>
      </c>
      <c r="O189">
        <v>120</v>
      </c>
      <c r="P189">
        <v>39.705882352941202</v>
      </c>
      <c r="Q189">
        <v>362.9</v>
      </c>
      <c r="R189">
        <v>1</v>
      </c>
      <c r="S189">
        <v>54.530201342281899</v>
      </c>
      <c r="T189">
        <f t="shared" si="2"/>
        <v>0.54530201342281903</v>
      </c>
      <c r="U189" t="s">
        <v>221</v>
      </c>
      <c r="V189" t="s">
        <v>295</v>
      </c>
    </row>
    <row r="190" spans="1:22" x14ac:dyDescent="0.25">
      <c r="A190">
        <v>189</v>
      </c>
      <c r="B190" t="s">
        <v>217</v>
      </c>
      <c r="C190" s="2">
        <v>43228</v>
      </c>
      <c r="D190" t="s">
        <v>37</v>
      </c>
      <c r="F190" t="s">
        <v>39</v>
      </c>
      <c r="G190">
        <v>3</v>
      </c>
      <c r="H190" t="s">
        <v>306</v>
      </c>
      <c r="I190" t="s">
        <v>307</v>
      </c>
      <c r="J190" t="s">
        <v>42</v>
      </c>
      <c r="K190" t="s">
        <v>308</v>
      </c>
      <c r="L190" t="s">
        <v>250</v>
      </c>
      <c r="M190" t="s">
        <v>101</v>
      </c>
      <c r="N190" t="s">
        <v>294</v>
      </c>
      <c r="O190">
        <v>65</v>
      </c>
      <c r="P190">
        <v>65.053763440860195</v>
      </c>
      <c r="Q190">
        <v>664.1</v>
      </c>
      <c r="R190">
        <v>0</v>
      </c>
      <c r="S190">
        <v>50.559862187769198</v>
      </c>
      <c r="T190">
        <f t="shared" si="2"/>
        <v>0.505598621877692</v>
      </c>
      <c r="U190" t="s">
        <v>221</v>
      </c>
      <c r="V190" t="s">
        <v>295</v>
      </c>
    </row>
    <row r="191" spans="1:22" x14ac:dyDescent="0.25">
      <c r="A191">
        <v>190</v>
      </c>
      <c r="B191" t="s">
        <v>217</v>
      </c>
      <c r="C191" s="2">
        <v>43228</v>
      </c>
      <c r="D191" t="s">
        <v>37</v>
      </c>
      <c r="F191" t="s">
        <v>39</v>
      </c>
      <c r="G191">
        <v>3</v>
      </c>
      <c r="H191" t="s">
        <v>309</v>
      </c>
      <c r="I191" t="s">
        <v>310</v>
      </c>
      <c r="J191" t="s">
        <v>42</v>
      </c>
      <c r="K191" t="s">
        <v>311</v>
      </c>
      <c r="L191" t="s">
        <v>250</v>
      </c>
      <c r="M191" t="s">
        <v>101</v>
      </c>
      <c r="N191" t="s">
        <v>294</v>
      </c>
      <c r="O191">
        <v>120</v>
      </c>
      <c r="P191">
        <v>56.074766355140198</v>
      </c>
      <c r="Q191">
        <v>579.1</v>
      </c>
      <c r="R191">
        <v>1</v>
      </c>
      <c r="S191">
        <v>70.215462610899905</v>
      </c>
      <c r="T191">
        <f t="shared" si="2"/>
        <v>0.70215462610899904</v>
      </c>
      <c r="U191" t="s">
        <v>221</v>
      </c>
      <c r="V191" t="s">
        <v>295</v>
      </c>
    </row>
    <row r="192" spans="1:22" x14ac:dyDescent="0.25">
      <c r="A192">
        <v>191</v>
      </c>
      <c r="B192" t="s">
        <v>217</v>
      </c>
      <c r="C192" s="2">
        <v>43228</v>
      </c>
      <c r="D192" t="s">
        <v>37</v>
      </c>
      <c r="F192" t="s">
        <v>39</v>
      </c>
      <c r="G192">
        <v>3</v>
      </c>
      <c r="H192" t="s">
        <v>312</v>
      </c>
      <c r="I192" t="s">
        <v>313</v>
      </c>
      <c r="J192" t="s">
        <v>42</v>
      </c>
      <c r="K192" t="s">
        <v>314</v>
      </c>
      <c r="L192" t="s">
        <v>250</v>
      </c>
      <c r="M192" t="s">
        <v>101</v>
      </c>
      <c r="N192" t="s">
        <v>294</v>
      </c>
      <c r="O192">
        <v>30</v>
      </c>
      <c r="P192">
        <v>62.411347517730498</v>
      </c>
      <c r="Q192">
        <v>664.6</v>
      </c>
      <c r="R192">
        <v>0</v>
      </c>
      <c r="S192">
        <v>58.253012048192801</v>
      </c>
      <c r="T192">
        <f t="shared" si="2"/>
        <v>0.58253012048192798</v>
      </c>
      <c r="U192" t="s">
        <v>221</v>
      </c>
      <c r="V192" t="s">
        <v>295</v>
      </c>
    </row>
    <row r="193" spans="1:22" x14ac:dyDescent="0.25">
      <c r="A193">
        <v>192</v>
      </c>
      <c r="B193" t="s">
        <v>217</v>
      </c>
      <c r="C193" s="2">
        <v>43228</v>
      </c>
      <c r="D193" t="s">
        <v>37</v>
      </c>
      <c r="F193" t="s">
        <v>39</v>
      </c>
      <c r="G193">
        <v>3</v>
      </c>
      <c r="H193" t="s">
        <v>315</v>
      </c>
      <c r="I193" t="s">
        <v>316</v>
      </c>
      <c r="J193" t="s">
        <v>42</v>
      </c>
      <c r="K193" t="s">
        <v>317</v>
      </c>
      <c r="L193" t="s">
        <v>185</v>
      </c>
      <c r="M193" t="s">
        <v>101</v>
      </c>
      <c r="N193" t="s">
        <v>294</v>
      </c>
      <c r="O193">
        <v>58</v>
      </c>
      <c r="P193">
        <v>67.804878048780495</v>
      </c>
      <c r="Q193">
        <v>721</v>
      </c>
      <c r="R193">
        <v>0</v>
      </c>
      <c r="S193">
        <v>55.243069505825602</v>
      </c>
      <c r="T193">
        <f t="shared" si="2"/>
        <v>0.55243069505825604</v>
      </c>
      <c r="U193" t="s">
        <v>221</v>
      </c>
      <c r="V193" t="s">
        <v>295</v>
      </c>
    </row>
    <row r="194" spans="1:22" x14ac:dyDescent="0.25">
      <c r="A194">
        <v>193</v>
      </c>
      <c r="B194" t="s">
        <v>217</v>
      </c>
      <c r="C194" s="2">
        <v>43228</v>
      </c>
      <c r="D194" t="s">
        <v>37</v>
      </c>
      <c r="F194" t="s">
        <v>39</v>
      </c>
      <c r="G194">
        <v>3</v>
      </c>
      <c r="H194" t="s">
        <v>318</v>
      </c>
      <c r="I194" t="s">
        <v>319</v>
      </c>
      <c r="J194" t="s">
        <v>109</v>
      </c>
      <c r="K194" t="s">
        <v>320</v>
      </c>
      <c r="L194" t="s">
        <v>185</v>
      </c>
      <c r="M194" t="s">
        <v>101</v>
      </c>
      <c r="N194" t="s">
        <v>294</v>
      </c>
      <c r="O194">
        <v>120</v>
      </c>
      <c r="P194">
        <v>39.393939393939398</v>
      </c>
      <c r="Q194">
        <v>550</v>
      </c>
      <c r="R194">
        <v>1</v>
      </c>
      <c r="S194">
        <v>47.084048027444197</v>
      </c>
      <c r="T194">
        <f t="shared" si="2"/>
        <v>0.47084048027444197</v>
      </c>
      <c r="U194" t="s">
        <v>221</v>
      </c>
      <c r="V194" t="s">
        <v>295</v>
      </c>
    </row>
    <row r="195" spans="1:22" x14ac:dyDescent="0.25">
      <c r="A195">
        <v>194</v>
      </c>
      <c r="B195" t="s">
        <v>217</v>
      </c>
      <c r="C195" s="2">
        <v>43228</v>
      </c>
      <c r="D195" t="s">
        <v>37</v>
      </c>
      <c r="F195" t="s">
        <v>39</v>
      </c>
      <c r="G195">
        <v>3</v>
      </c>
      <c r="H195" t="s">
        <v>321</v>
      </c>
      <c r="I195" t="s">
        <v>322</v>
      </c>
      <c r="J195" t="s">
        <v>42</v>
      </c>
      <c r="K195" t="s">
        <v>323</v>
      </c>
      <c r="L195" t="s">
        <v>185</v>
      </c>
      <c r="M195" t="s">
        <v>101</v>
      </c>
      <c r="N195" t="s">
        <v>294</v>
      </c>
      <c r="O195">
        <v>120</v>
      </c>
      <c r="P195">
        <v>45.614035087719301</v>
      </c>
      <c r="Q195">
        <v>328.1</v>
      </c>
      <c r="R195">
        <v>1</v>
      </c>
      <c r="S195">
        <v>56.086956521739097</v>
      </c>
      <c r="T195">
        <f t="shared" ref="T195:T258" si="3">S195/100</f>
        <v>0.56086956521739095</v>
      </c>
      <c r="U195" t="s">
        <v>221</v>
      </c>
      <c r="V195" t="s">
        <v>295</v>
      </c>
    </row>
    <row r="196" spans="1:22" x14ac:dyDescent="0.25">
      <c r="A196">
        <v>195</v>
      </c>
      <c r="B196" t="s">
        <v>217</v>
      </c>
      <c r="C196" s="2">
        <v>43242</v>
      </c>
      <c r="D196" t="s">
        <v>37</v>
      </c>
      <c r="F196" t="s">
        <v>39</v>
      </c>
      <c r="G196">
        <v>4</v>
      </c>
      <c r="H196" t="s">
        <v>218</v>
      </c>
      <c r="I196" t="s">
        <v>219</v>
      </c>
      <c r="J196" t="s">
        <v>42</v>
      </c>
      <c r="K196" t="s">
        <v>220</v>
      </c>
      <c r="L196" t="s">
        <v>44</v>
      </c>
      <c r="M196" t="s">
        <v>45</v>
      </c>
      <c r="N196" t="s">
        <v>46</v>
      </c>
      <c r="O196">
        <v>24</v>
      </c>
      <c r="P196">
        <v>69.230769230769198</v>
      </c>
      <c r="Q196">
        <v>474.1</v>
      </c>
      <c r="R196">
        <v>0</v>
      </c>
      <c r="S196">
        <v>51.815181518151903</v>
      </c>
      <c r="T196">
        <f t="shared" si="3"/>
        <v>0.51815181518151898</v>
      </c>
      <c r="U196" t="s">
        <v>221</v>
      </c>
      <c r="V196" t="s">
        <v>48</v>
      </c>
    </row>
    <row r="197" spans="1:22" x14ac:dyDescent="0.25">
      <c r="A197">
        <v>196</v>
      </c>
      <c r="B197" t="s">
        <v>217</v>
      </c>
      <c r="C197" s="2">
        <v>43242</v>
      </c>
      <c r="D197" t="s">
        <v>37</v>
      </c>
      <c r="F197" t="s">
        <v>39</v>
      </c>
      <c r="G197">
        <v>4</v>
      </c>
      <c r="H197" t="s">
        <v>222</v>
      </c>
      <c r="I197" t="s">
        <v>223</v>
      </c>
      <c r="J197" t="s">
        <v>42</v>
      </c>
      <c r="K197" t="s">
        <v>224</v>
      </c>
      <c r="L197" t="s">
        <v>225</v>
      </c>
      <c r="M197" t="s">
        <v>45</v>
      </c>
      <c r="N197" t="s">
        <v>46</v>
      </c>
      <c r="O197">
        <v>120</v>
      </c>
      <c r="P197">
        <v>46.268656716417901</v>
      </c>
      <c r="Q197">
        <v>758.8</v>
      </c>
      <c r="R197">
        <v>1</v>
      </c>
      <c r="S197">
        <v>45.292207792207797</v>
      </c>
      <c r="T197">
        <f t="shared" si="3"/>
        <v>0.45292207792207795</v>
      </c>
      <c r="U197" t="s">
        <v>221</v>
      </c>
      <c r="V197" t="s">
        <v>48</v>
      </c>
    </row>
    <row r="198" spans="1:22" x14ac:dyDescent="0.25">
      <c r="A198">
        <v>197</v>
      </c>
      <c r="B198" t="s">
        <v>217</v>
      </c>
      <c r="C198" s="2">
        <v>43242</v>
      </c>
      <c r="D198" t="s">
        <v>37</v>
      </c>
      <c r="F198" t="s">
        <v>39</v>
      </c>
      <c r="G198">
        <v>4</v>
      </c>
      <c r="H198" t="s">
        <v>226</v>
      </c>
      <c r="I198" t="s">
        <v>227</v>
      </c>
      <c r="J198" t="s">
        <v>42</v>
      </c>
      <c r="K198" t="s">
        <v>228</v>
      </c>
      <c r="L198" t="s">
        <v>225</v>
      </c>
      <c r="M198" t="s">
        <v>45</v>
      </c>
      <c r="N198" t="s">
        <v>46</v>
      </c>
      <c r="O198">
        <v>63</v>
      </c>
      <c r="P198">
        <v>70.9677419354839</v>
      </c>
      <c r="Q198">
        <v>651</v>
      </c>
      <c r="R198">
        <v>0</v>
      </c>
      <c r="S198">
        <v>52.970297029702998</v>
      </c>
      <c r="T198">
        <f t="shared" si="3"/>
        <v>0.52970297029702995</v>
      </c>
      <c r="U198" t="s">
        <v>221</v>
      </c>
      <c r="V198" t="s">
        <v>48</v>
      </c>
    </row>
    <row r="199" spans="1:22" x14ac:dyDescent="0.25">
      <c r="A199">
        <v>198</v>
      </c>
      <c r="B199" t="s">
        <v>217</v>
      </c>
      <c r="C199" s="2">
        <v>43242</v>
      </c>
      <c r="D199" t="s">
        <v>37</v>
      </c>
      <c r="F199" t="s">
        <v>39</v>
      </c>
      <c r="G199">
        <v>4</v>
      </c>
      <c r="H199" t="s">
        <v>229</v>
      </c>
      <c r="I199" t="s">
        <v>230</v>
      </c>
      <c r="J199" t="s">
        <v>42</v>
      </c>
      <c r="K199" t="s">
        <v>231</v>
      </c>
      <c r="L199" t="s">
        <v>232</v>
      </c>
      <c r="M199" t="s">
        <v>45</v>
      </c>
      <c r="N199" t="s">
        <v>46</v>
      </c>
      <c r="O199">
        <v>120</v>
      </c>
      <c r="P199">
        <v>75</v>
      </c>
      <c r="Q199">
        <v>202.2</v>
      </c>
      <c r="R199">
        <v>1</v>
      </c>
      <c r="S199">
        <v>62.105263157894697</v>
      </c>
      <c r="T199">
        <f t="shared" si="3"/>
        <v>0.62105263157894697</v>
      </c>
      <c r="U199" t="s">
        <v>221</v>
      </c>
      <c r="V199" t="s">
        <v>48</v>
      </c>
    </row>
    <row r="200" spans="1:22" x14ac:dyDescent="0.25">
      <c r="A200">
        <v>199</v>
      </c>
      <c r="B200" t="s">
        <v>217</v>
      </c>
      <c r="C200" s="2">
        <v>43242</v>
      </c>
      <c r="D200" t="s">
        <v>37</v>
      </c>
      <c r="F200" t="s">
        <v>39</v>
      </c>
      <c r="G200">
        <v>4</v>
      </c>
      <c r="H200" t="s">
        <v>233</v>
      </c>
      <c r="I200" t="s">
        <v>234</v>
      </c>
      <c r="J200" t="s">
        <v>42</v>
      </c>
      <c r="K200" t="s">
        <v>235</v>
      </c>
      <c r="L200" t="s">
        <v>232</v>
      </c>
      <c r="M200" t="s">
        <v>45</v>
      </c>
      <c r="N200" t="s">
        <v>46</v>
      </c>
      <c r="O200">
        <v>120</v>
      </c>
      <c r="P200">
        <v>43.589743589743598</v>
      </c>
      <c r="Q200">
        <v>339.1</v>
      </c>
      <c r="R200">
        <v>1</v>
      </c>
      <c r="S200">
        <v>59.270072992700698</v>
      </c>
      <c r="T200">
        <f t="shared" si="3"/>
        <v>0.59270072992700695</v>
      </c>
      <c r="U200" t="s">
        <v>221</v>
      </c>
      <c r="V200" t="s">
        <v>48</v>
      </c>
    </row>
    <row r="201" spans="1:22" x14ac:dyDescent="0.25">
      <c r="A201">
        <v>200</v>
      </c>
      <c r="B201" t="s">
        <v>217</v>
      </c>
      <c r="C201" s="2">
        <v>43242</v>
      </c>
      <c r="D201" t="s">
        <v>37</v>
      </c>
      <c r="F201" t="s">
        <v>39</v>
      </c>
      <c r="G201">
        <v>4</v>
      </c>
      <c r="H201" t="s">
        <v>236</v>
      </c>
      <c r="I201" t="s">
        <v>237</v>
      </c>
      <c r="J201" t="s">
        <v>42</v>
      </c>
      <c r="K201" t="s">
        <v>238</v>
      </c>
      <c r="L201" t="s">
        <v>239</v>
      </c>
      <c r="M201" t="s">
        <v>45</v>
      </c>
      <c r="N201" t="s">
        <v>46</v>
      </c>
      <c r="O201">
        <v>86</v>
      </c>
      <c r="P201">
        <v>41.6666666666667</v>
      </c>
      <c r="Q201">
        <v>651.29999999999995</v>
      </c>
      <c r="R201">
        <v>1</v>
      </c>
      <c r="S201">
        <v>46.124031007751903</v>
      </c>
      <c r="T201">
        <f t="shared" si="3"/>
        <v>0.46124031007751903</v>
      </c>
      <c r="U201" t="s">
        <v>221</v>
      </c>
      <c r="V201" t="s">
        <v>48</v>
      </c>
    </row>
    <row r="202" spans="1:22" x14ac:dyDescent="0.25">
      <c r="A202">
        <v>201</v>
      </c>
      <c r="B202" t="s">
        <v>217</v>
      </c>
      <c r="C202" s="2">
        <v>43242</v>
      </c>
      <c r="D202" t="s">
        <v>37</v>
      </c>
      <c r="F202" t="s">
        <v>39</v>
      </c>
      <c r="G202">
        <v>4</v>
      </c>
      <c r="H202" t="s">
        <v>240</v>
      </c>
      <c r="I202" t="s">
        <v>241</v>
      </c>
      <c r="J202" t="s">
        <v>42</v>
      </c>
      <c r="K202" t="s">
        <v>242</v>
      </c>
      <c r="L202" t="s">
        <v>111</v>
      </c>
      <c r="M202" t="s">
        <v>45</v>
      </c>
      <c r="N202" t="s">
        <v>46</v>
      </c>
      <c r="O202">
        <v>51</v>
      </c>
      <c r="P202">
        <v>67.605633802816897</v>
      </c>
      <c r="Q202">
        <v>538.6</v>
      </c>
      <c r="R202">
        <v>1</v>
      </c>
      <c r="S202">
        <v>53.812316715542501</v>
      </c>
      <c r="T202">
        <f t="shared" si="3"/>
        <v>0.53812316715542496</v>
      </c>
      <c r="U202" t="s">
        <v>221</v>
      </c>
      <c r="V202" t="s">
        <v>48</v>
      </c>
    </row>
    <row r="203" spans="1:22" x14ac:dyDescent="0.25">
      <c r="A203">
        <v>202</v>
      </c>
      <c r="B203" t="s">
        <v>217</v>
      </c>
      <c r="C203" s="2">
        <v>43242</v>
      </c>
      <c r="D203" t="s">
        <v>37</v>
      </c>
      <c r="F203" t="s">
        <v>39</v>
      </c>
      <c r="G203">
        <v>4</v>
      </c>
      <c r="H203" t="s">
        <v>243</v>
      </c>
      <c r="I203" t="s">
        <v>244</v>
      </c>
      <c r="J203" t="s">
        <v>42</v>
      </c>
      <c r="K203" t="s">
        <v>245</v>
      </c>
      <c r="L203" t="s">
        <v>246</v>
      </c>
      <c r="M203" t="s">
        <v>45</v>
      </c>
      <c r="N203" t="s">
        <v>46</v>
      </c>
      <c r="O203">
        <v>120</v>
      </c>
      <c r="P203">
        <v>78.571428571428598</v>
      </c>
      <c r="Q203">
        <v>623.4</v>
      </c>
      <c r="R203">
        <v>1</v>
      </c>
      <c r="S203">
        <v>45.322580645161302</v>
      </c>
      <c r="T203">
        <f t="shared" si="3"/>
        <v>0.45322580645161303</v>
      </c>
      <c r="U203" t="s">
        <v>221</v>
      </c>
      <c r="V203" t="s">
        <v>48</v>
      </c>
    </row>
    <row r="204" spans="1:22" x14ac:dyDescent="0.25">
      <c r="A204">
        <v>203</v>
      </c>
      <c r="B204" t="s">
        <v>217</v>
      </c>
      <c r="C204" s="2">
        <v>43242</v>
      </c>
      <c r="D204" t="s">
        <v>37</v>
      </c>
      <c r="F204" t="s">
        <v>39</v>
      </c>
      <c r="G204">
        <v>4</v>
      </c>
      <c r="H204" t="s">
        <v>247</v>
      </c>
      <c r="I204" t="s">
        <v>248</v>
      </c>
      <c r="J204" t="s">
        <v>42</v>
      </c>
      <c r="K204" t="s">
        <v>249</v>
      </c>
      <c r="L204" t="s">
        <v>250</v>
      </c>
      <c r="M204" t="s">
        <v>45</v>
      </c>
      <c r="N204" t="s">
        <v>46</v>
      </c>
      <c r="O204">
        <v>5</v>
      </c>
      <c r="P204">
        <v>44.285714285714299</v>
      </c>
      <c r="Q204">
        <v>494.5</v>
      </c>
      <c r="R204">
        <v>1</v>
      </c>
      <c r="S204">
        <v>44.639376218323598</v>
      </c>
      <c r="T204">
        <f t="shared" si="3"/>
        <v>0.44639376218323595</v>
      </c>
      <c r="U204" t="s">
        <v>221</v>
      </c>
      <c r="V204" t="s">
        <v>48</v>
      </c>
    </row>
    <row r="205" spans="1:22" x14ac:dyDescent="0.25">
      <c r="A205">
        <v>204</v>
      </c>
      <c r="B205" t="s">
        <v>217</v>
      </c>
      <c r="C205" s="2">
        <v>43242</v>
      </c>
      <c r="D205" t="s">
        <v>37</v>
      </c>
      <c r="F205" t="s">
        <v>39</v>
      </c>
      <c r="G205">
        <v>3</v>
      </c>
      <c r="H205" t="s">
        <v>251</v>
      </c>
      <c r="I205" t="s">
        <v>252</v>
      </c>
      <c r="J205" t="s">
        <v>42</v>
      </c>
      <c r="K205" t="s">
        <v>253</v>
      </c>
      <c r="L205" t="s">
        <v>59</v>
      </c>
      <c r="M205" t="s">
        <v>45</v>
      </c>
      <c r="N205" t="s">
        <v>46</v>
      </c>
      <c r="O205">
        <v>58</v>
      </c>
      <c r="P205">
        <v>53.246753246753201</v>
      </c>
      <c r="Q205">
        <v>540.79999999999995</v>
      </c>
      <c r="R205">
        <v>1</v>
      </c>
      <c r="S205">
        <v>57.780320366132699</v>
      </c>
      <c r="T205">
        <f t="shared" si="3"/>
        <v>0.57780320366132698</v>
      </c>
      <c r="U205" t="s">
        <v>221</v>
      </c>
      <c r="V205" t="s">
        <v>48</v>
      </c>
    </row>
    <row r="206" spans="1:22" x14ac:dyDescent="0.25">
      <c r="A206">
        <v>205</v>
      </c>
      <c r="B206" t="s">
        <v>217</v>
      </c>
      <c r="C206" s="2">
        <v>43242</v>
      </c>
      <c r="D206" t="s">
        <v>37</v>
      </c>
      <c r="F206" t="s">
        <v>39</v>
      </c>
      <c r="G206">
        <v>4</v>
      </c>
      <c r="H206" t="s">
        <v>254</v>
      </c>
      <c r="I206" t="s">
        <v>255</v>
      </c>
      <c r="J206" t="s">
        <v>42</v>
      </c>
      <c r="K206" t="s">
        <v>256</v>
      </c>
      <c r="L206" t="s">
        <v>177</v>
      </c>
      <c r="M206" t="s">
        <v>101</v>
      </c>
      <c r="N206" t="s">
        <v>257</v>
      </c>
      <c r="O206">
        <v>120</v>
      </c>
      <c r="P206">
        <v>28.448275862069</v>
      </c>
      <c r="Q206">
        <v>552</v>
      </c>
      <c r="R206">
        <v>1</v>
      </c>
      <c r="S206">
        <v>57.595190380761501</v>
      </c>
      <c r="T206">
        <f t="shared" si="3"/>
        <v>0.57595190380761496</v>
      </c>
      <c r="U206" t="s">
        <v>221</v>
      </c>
      <c r="V206" t="s">
        <v>48</v>
      </c>
    </row>
    <row r="207" spans="1:22" x14ac:dyDescent="0.25">
      <c r="A207">
        <v>206</v>
      </c>
      <c r="B207" t="s">
        <v>217</v>
      </c>
      <c r="C207" s="2">
        <v>43242</v>
      </c>
      <c r="D207" t="s">
        <v>37</v>
      </c>
      <c r="F207" t="s">
        <v>39</v>
      </c>
      <c r="G207">
        <v>4</v>
      </c>
      <c r="H207" t="s">
        <v>258</v>
      </c>
      <c r="I207" t="s">
        <v>259</v>
      </c>
      <c r="J207" t="s">
        <v>42</v>
      </c>
      <c r="K207" t="s">
        <v>260</v>
      </c>
      <c r="L207" t="s">
        <v>261</v>
      </c>
      <c r="M207" t="s">
        <v>45</v>
      </c>
      <c r="N207" t="s">
        <v>257</v>
      </c>
      <c r="O207">
        <v>120</v>
      </c>
      <c r="P207">
        <v>42.9752066115703</v>
      </c>
      <c r="Q207">
        <v>556.29999999999995</v>
      </c>
      <c r="R207">
        <v>1</v>
      </c>
      <c r="S207">
        <v>54.653937947494001</v>
      </c>
      <c r="T207">
        <f t="shared" si="3"/>
        <v>0.54653937947494002</v>
      </c>
      <c r="U207" t="s">
        <v>221</v>
      </c>
      <c r="V207" t="s">
        <v>48</v>
      </c>
    </row>
    <row r="208" spans="1:22" x14ac:dyDescent="0.25">
      <c r="A208">
        <v>207</v>
      </c>
      <c r="B208" t="s">
        <v>217</v>
      </c>
      <c r="C208" s="2">
        <v>43242</v>
      </c>
      <c r="D208" t="s">
        <v>37</v>
      </c>
      <c r="F208" t="s">
        <v>39</v>
      </c>
      <c r="G208">
        <v>4</v>
      </c>
      <c r="H208" t="s">
        <v>262</v>
      </c>
      <c r="I208" t="s">
        <v>263</v>
      </c>
      <c r="J208" t="s">
        <v>42</v>
      </c>
      <c r="K208" t="s">
        <v>264</v>
      </c>
      <c r="L208" t="s">
        <v>111</v>
      </c>
      <c r="M208" t="s">
        <v>101</v>
      </c>
      <c r="N208" t="s">
        <v>257</v>
      </c>
      <c r="O208">
        <v>32</v>
      </c>
      <c r="P208">
        <v>76</v>
      </c>
      <c r="Q208">
        <v>730</v>
      </c>
      <c r="R208">
        <v>0</v>
      </c>
      <c r="S208">
        <v>45.531914893617</v>
      </c>
      <c r="T208">
        <f t="shared" si="3"/>
        <v>0.45531914893616998</v>
      </c>
      <c r="U208" t="s">
        <v>221</v>
      </c>
      <c r="V208" t="s">
        <v>48</v>
      </c>
    </row>
    <row r="209" spans="1:22" x14ac:dyDescent="0.25">
      <c r="A209">
        <v>208</v>
      </c>
      <c r="B209" t="s">
        <v>217</v>
      </c>
      <c r="C209" s="2">
        <v>43242</v>
      </c>
      <c r="D209" t="s">
        <v>37</v>
      </c>
      <c r="F209" t="s">
        <v>39</v>
      </c>
      <c r="G209">
        <v>4</v>
      </c>
      <c r="H209" t="s">
        <v>265</v>
      </c>
      <c r="I209" t="s">
        <v>266</v>
      </c>
      <c r="J209" t="s">
        <v>42</v>
      </c>
      <c r="K209" t="s">
        <v>267</v>
      </c>
      <c r="L209" t="s">
        <v>268</v>
      </c>
      <c r="M209" t="s">
        <v>45</v>
      </c>
      <c r="N209" t="s">
        <v>257</v>
      </c>
      <c r="O209">
        <v>120</v>
      </c>
      <c r="P209">
        <v>50</v>
      </c>
      <c r="Q209">
        <v>473.8</v>
      </c>
      <c r="R209">
        <v>1</v>
      </c>
      <c r="S209">
        <v>57.926221335991997</v>
      </c>
      <c r="T209">
        <f t="shared" si="3"/>
        <v>0.57926221335992001</v>
      </c>
      <c r="U209" t="s">
        <v>221</v>
      </c>
      <c r="V209" t="s">
        <v>48</v>
      </c>
    </row>
    <row r="210" spans="1:22" x14ac:dyDescent="0.25">
      <c r="A210">
        <v>209</v>
      </c>
      <c r="B210" t="s">
        <v>217</v>
      </c>
      <c r="C210" s="2">
        <v>43242</v>
      </c>
      <c r="D210" t="s">
        <v>37</v>
      </c>
      <c r="F210" t="s">
        <v>39</v>
      </c>
      <c r="G210">
        <v>4</v>
      </c>
      <c r="H210" t="s">
        <v>269</v>
      </c>
      <c r="I210" t="s">
        <v>270</v>
      </c>
      <c r="J210" t="s">
        <v>42</v>
      </c>
      <c r="K210" t="s">
        <v>271</v>
      </c>
      <c r="L210" t="s">
        <v>111</v>
      </c>
      <c r="M210" t="s">
        <v>45</v>
      </c>
      <c r="N210" t="s">
        <v>257</v>
      </c>
      <c r="O210">
        <v>120</v>
      </c>
      <c r="P210">
        <v>35.031847133757999</v>
      </c>
      <c r="Q210">
        <v>213.5</v>
      </c>
      <c r="R210">
        <v>1</v>
      </c>
      <c r="S210">
        <v>76.851851851851805</v>
      </c>
      <c r="T210">
        <f t="shared" si="3"/>
        <v>0.76851851851851805</v>
      </c>
      <c r="U210" t="s">
        <v>221</v>
      </c>
      <c r="V210" t="s">
        <v>48</v>
      </c>
    </row>
    <row r="211" spans="1:22" x14ac:dyDescent="0.25">
      <c r="A211">
        <v>210</v>
      </c>
      <c r="B211" t="s">
        <v>217</v>
      </c>
      <c r="C211" s="2">
        <v>43242</v>
      </c>
      <c r="D211" t="s">
        <v>37</v>
      </c>
      <c r="F211" t="s">
        <v>39</v>
      </c>
      <c r="G211">
        <v>4</v>
      </c>
      <c r="H211" t="s">
        <v>272</v>
      </c>
      <c r="I211" t="s">
        <v>273</v>
      </c>
      <c r="J211" t="s">
        <v>42</v>
      </c>
      <c r="K211" t="s">
        <v>274</v>
      </c>
      <c r="L211" t="s">
        <v>275</v>
      </c>
      <c r="M211" t="s">
        <v>101</v>
      </c>
      <c r="N211" t="s">
        <v>257</v>
      </c>
      <c r="O211">
        <v>120</v>
      </c>
      <c r="P211">
        <v>40.594059405940598</v>
      </c>
      <c r="Q211">
        <v>446</v>
      </c>
      <c r="R211">
        <v>1</v>
      </c>
      <c r="S211">
        <v>66.542750929367998</v>
      </c>
      <c r="T211">
        <f t="shared" si="3"/>
        <v>0.66542750929368</v>
      </c>
      <c r="U211" t="s">
        <v>221</v>
      </c>
      <c r="V211" t="s">
        <v>48</v>
      </c>
    </row>
    <row r="212" spans="1:22" x14ac:dyDescent="0.25">
      <c r="A212">
        <v>211</v>
      </c>
      <c r="B212" t="s">
        <v>217</v>
      </c>
      <c r="C212" s="2">
        <v>43242</v>
      </c>
      <c r="D212" t="s">
        <v>37</v>
      </c>
      <c r="F212" t="s">
        <v>39</v>
      </c>
      <c r="G212">
        <v>4</v>
      </c>
      <c r="H212" t="s">
        <v>276</v>
      </c>
      <c r="I212" t="s">
        <v>277</v>
      </c>
      <c r="J212" t="s">
        <v>42</v>
      </c>
      <c r="K212" t="s">
        <v>278</v>
      </c>
      <c r="L212" t="s">
        <v>177</v>
      </c>
      <c r="M212" t="s">
        <v>101</v>
      </c>
      <c r="N212" t="s">
        <v>257</v>
      </c>
      <c r="O212">
        <v>120</v>
      </c>
      <c r="P212">
        <v>35.251798561151098</v>
      </c>
      <c r="Q212">
        <v>658.7</v>
      </c>
      <c r="R212">
        <v>1</v>
      </c>
      <c r="S212">
        <v>49.098312972658498</v>
      </c>
      <c r="T212">
        <f t="shared" si="3"/>
        <v>0.49098312972658498</v>
      </c>
      <c r="U212" t="s">
        <v>221</v>
      </c>
      <c r="V212" t="s">
        <v>48</v>
      </c>
    </row>
    <row r="213" spans="1:22" x14ac:dyDescent="0.25">
      <c r="A213">
        <v>212</v>
      </c>
      <c r="B213" t="s">
        <v>217</v>
      </c>
      <c r="C213" s="2">
        <v>43242</v>
      </c>
      <c r="D213" t="s">
        <v>37</v>
      </c>
      <c r="F213" t="s">
        <v>39</v>
      </c>
      <c r="G213">
        <v>4</v>
      </c>
      <c r="H213" t="s">
        <v>279</v>
      </c>
      <c r="I213" t="s">
        <v>280</v>
      </c>
      <c r="J213" t="s">
        <v>42</v>
      </c>
      <c r="K213" t="s">
        <v>281</v>
      </c>
      <c r="L213" t="s">
        <v>177</v>
      </c>
      <c r="M213" t="s">
        <v>45</v>
      </c>
      <c r="N213" t="s">
        <v>257</v>
      </c>
      <c r="O213">
        <v>120</v>
      </c>
      <c r="P213">
        <v>45.864661654135297</v>
      </c>
      <c r="Q213">
        <v>342.9</v>
      </c>
      <c r="R213">
        <v>1</v>
      </c>
      <c r="S213">
        <v>59.658011399620001</v>
      </c>
      <c r="T213">
        <f t="shared" si="3"/>
        <v>0.59658011399620003</v>
      </c>
      <c r="U213" t="s">
        <v>221</v>
      </c>
      <c r="V213" t="s">
        <v>48</v>
      </c>
    </row>
    <row r="214" spans="1:22" x14ac:dyDescent="0.25">
      <c r="A214">
        <v>213</v>
      </c>
      <c r="B214" t="s">
        <v>217</v>
      </c>
      <c r="C214" s="2">
        <v>43242</v>
      </c>
      <c r="D214" t="s">
        <v>37</v>
      </c>
      <c r="F214" t="s">
        <v>39</v>
      </c>
      <c r="G214">
        <v>4</v>
      </c>
      <c r="H214" t="s">
        <v>282</v>
      </c>
      <c r="I214" t="s">
        <v>283</v>
      </c>
      <c r="J214" t="s">
        <v>42</v>
      </c>
      <c r="K214" t="s">
        <v>284</v>
      </c>
      <c r="L214" t="s">
        <v>285</v>
      </c>
      <c r="M214" t="s">
        <v>101</v>
      </c>
      <c r="N214" t="s">
        <v>257</v>
      </c>
      <c r="O214">
        <v>120</v>
      </c>
      <c r="P214">
        <v>38.709677419354797</v>
      </c>
      <c r="Q214">
        <v>526.5</v>
      </c>
      <c r="R214">
        <v>1</v>
      </c>
      <c r="S214">
        <v>53.357047576700801</v>
      </c>
      <c r="T214">
        <f t="shared" si="3"/>
        <v>0.533570475767008</v>
      </c>
      <c r="U214" t="s">
        <v>221</v>
      </c>
      <c r="V214" t="s">
        <v>48</v>
      </c>
    </row>
    <row r="215" spans="1:22" x14ac:dyDescent="0.25">
      <c r="A215">
        <v>214</v>
      </c>
      <c r="B215" t="s">
        <v>217</v>
      </c>
      <c r="C215" s="2">
        <v>43242</v>
      </c>
      <c r="D215" t="s">
        <v>37</v>
      </c>
      <c r="F215" t="s">
        <v>39</v>
      </c>
      <c r="G215">
        <v>4</v>
      </c>
      <c r="H215" t="s">
        <v>286</v>
      </c>
      <c r="I215" t="s">
        <v>287</v>
      </c>
      <c r="J215" t="s">
        <v>42</v>
      </c>
      <c r="K215" t="s">
        <v>288</v>
      </c>
      <c r="L215" t="s">
        <v>289</v>
      </c>
      <c r="M215" t="s">
        <v>45</v>
      </c>
      <c r="N215" t="s">
        <v>257</v>
      </c>
      <c r="O215">
        <v>120</v>
      </c>
      <c r="P215">
        <v>50.7246376811594</v>
      </c>
      <c r="Q215">
        <v>492.4</v>
      </c>
      <c r="R215">
        <v>1</v>
      </c>
      <c r="S215">
        <v>53.195673549655901</v>
      </c>
      <c r="T215">
        <f t="shared" si="3"/>
        <v>0.53195673549655897</v>
      </c>
      <c r="U215" t="s">
        <v>221</v>
      </c>
      <c r="V215" t="s">
        <v>48</v>
      </c>
    </row>
    <row r="216" spans="1:22" x14ac:dyDescent="0.25">
      <c r="A216">
        <v>215</v>
      </c>
      <c r="B216" t="s">
        <v>217</v>
      </c>
      <c r="C216" s="2">
        <v>43242</v>
      </c>
      <c r="D216" t="s">
        <v>37</v>
      </c>
      <c r="F216" t="s">
        <v>39</v>
      </c>
      <c r="G216">
        <v>4</v>
      </c>
      <c r="H216" t="s">
        <v>290</v>
      </c>
      <c r="I216" t="s">
        <v>291</v>
      </c>
      <c r="J216" t="s">
        <v>42</v>
      </c>
      <c r="K216" t="s">
        <v>292</v>
      </c>
      <c r="L216" t="s">
        <v>293</v>
      </c>
      <c r="M216" t="s">
        <v>101</v>
      </c>
      <c r="N216" t="s">
        <v>294</v>
      </c>
      <c r="O216">
        <v>89</v>
      </c>
      <c r="P216">
        <v>65.697674418604606</v>
      </c>
      <c r="Q216">
        <v>672.2</v>
      </c>
      <c r="R216">
        <v>1</v>
      </c>
      <c r="S216">
        <v>61.4127262113252</v>
      </c>
      <c r="T216">
        <f t="shared" si="3"/>
        <v>0.61412726211325197</v>
      </c>
      <c r="U216" t="s">
        <v>221</v>
      </c>
      <c r="V216" t="s">
        <v>295</v>
      </c>
    </row>
    <row r="217" spans="1:22" x14ac:dyDescent="0.25">
      <c r="A217">
        <v>216</v>
      </c>
      <c r="B217" t="s">
        <v>217</v>
      </c>
      <c r="C217" s="2">
        <v>43242</v>
      </c>
      <c r="D217" t="s">
        <v>37</v>
      </c>
      <c r="F217" t="s">
        <v>39</v>
      </c>
      <c r="G217">
        <v>4</v>
      </c>
      <c r="H217" t="s">
        <v>296</v>
      </c>
      <c r="I217" t="s">
        <v>297</v>
      </c>
      <c r="J217" t="s">
        <v>42</v>
      </c>
      <c r="K217" t="s">
        <v>298</v>
      </c>
      <c r="L217" t="s">
        <v>293</v>
      </c>
      <c r="M217" t="s">
        <v>101</v>
      </c>
      <c r="N217" t="s">
        <v>294</v>
      </c>
      <c r="O217">
        <v>11</v>
      </c>
      <c r="P217">
        <v>64.8</v>
      </c>
      <c r="Q217">
        <v>716</v>
      </c>
      <c r="R217">
        <v>1</v>
      </c>
      <c r="S217">
        <v>59.139784946236603</v>
      </c>
      <c r="T217">
        <f t="shared" si="3"/>
        <v>0.59139784946236607</v>
      </c>
      <c r="U217" t="s">
        <v>221</v>
      </c>
      <c r="V217" t="s">
        <v>295</v>
      </c>
    </row>
    <row r="218" spans="1:22" x14ac:dyDescent="0.25">
      <c r="A218">
        <v>217</v>
      </c>
      <c r="B218" t="s">
        <v>217</v>
      </c>
      <c r="C218" s="2">
        <v>43242</v>
      </c>
      <c r="D218" t="s">
        <v>37</v>
      </c>
      <c r="F218" t="s">
        <v>39</v>
      </c>
      <c r="G218">
        <v>4</v>
      </c>
      <c r="H218" t="s">
        <v>299</v>
      </c>
      <c r="I218" t="s">
        <v>300</v>
      </c>
      <c r="J218" t="s">
        <v>42</v>
      </c>
      <c r="K218" t="s">
        <v>301</v>
      </c>
      <c r="L218" t="s">
        <v>302</v>
      </c>
      <c r="M218" t="s">
        <v>45</v>
      </c>
      <c r="N218" t="s">
        <v>294</v>
      </c>
      <c r="O218">
        <v>120</v>
      </c>
      <c r="P218">
        <v>40.5660377358491</v>
      </c>
      <c r="Q218">
        <v>415.6</v>
      </c>
      <c r="R218">
        <v>1</v>
      </c>
      <c r="S218">
        <v>76.881720430107507</v>
      </c>
      <c r="T218">
        <f t="shared" si="3"/>
        <v>0.76881720430107503</v>
      </c>
      <c r="U218" t="s">
        <v>221</v>
      </c>
      <c r="V218" t="s">
        <v>295</v>
      </c>
    </row>
    <row r="219" spans="1:22" x14ac:dyDescent="0.25">
      <c r="A219">
        <v>218</v>
      </c>
      <c r="B219" t="s">
        <v>217</v>
      </c>
      <c r="C219" s="2">
        <v>43242</v>
      </c>
      <c r="D219" t="s">
        <v>37</v>
      </c>
      <c r="F219" t="s">
        <v>39</v>
      </c>
      <c r="G219">
        <v>4</v>
      </c>
      <c r="H219" t="s">
        <v>303</v>
      </c>
      <c r="I219" t="s">
        <v>304</v>
      </c>
      <c r="J219" t="s">
        <v>42</v>
      </c>
      <c r="K219" t="s">
        <v>305</v>
      </c>
      <c r="L219" t="s">
        <v>250</v>
      </c>
      <c r="M219" t="s">
        <v>101</v>
      </c>
      <c r="N219" t="s">
        <v>294</v>
      </c>
      <c r="O219">
        <v>108</v>
      </c>
      <c r="P219">
        <v>44.545454545454497</v>
      </c>
      <c r="Q219">
        <v>705.3</v>
      </c>
      <c r="R219">
        <v>0</v>
      </c>
      <c r="S219">
        <v>46.136233543217003</v>
      </c>
      <c r="T219">
        <f t="shared" si="3"/>
        <v>0.46136233543217003</v>
      </c>
      <c r="U219" t="s">
        <v>221</v>
      </c>
      <c r="V219" t="s">
        <v>295</v>
      </c>
    </row>
    <row r="220" spans="1:22" x14ac:dyDescent="0.25">
      <c r="A220">
        <v>219</v>
      </c>
      <c r="B220" t="s">
        <v>217</v>
      </c>
      <c r="C220" s="2">
        <v>43242</v>
      </c>
      <c r="D220" t="s">
        <v>37</v>
      </c>
      <c r="F220" t="s">
        <v>39</v>
      </c>
      <c r="G220">
        <v>4</v>
      </c>
      <c r="H220" t="s">
        <v>306</v>
      </c>
      <c r="I220" t="s">
        <v>307</v>
      </c>
      <c r="J220" t="s">
        <v>42</v>
      </c>
      <c r="K220" t="s">
        <v>308</v>
      </c>
      <c r="L220" t="s">
        <v>250</v>
      </c>
      <c r="M220" t="s">
        <v>101</v>
      </c>
      <c r="N220" t="s">
        <v>294</v>
      </c>
      <c r="O220">
        <v>120</v>
      </c>
      <c r="P220">
        <v>59.523809523809497</v>
      </c>
      <c r="Q220">
        <v>777.8</v>
      </c>
      <c r="R220">
        <v>1</v>
      </c>
      <c r="S220">
        <v>55.376344086021497</v>
      </c>
      <c r="T220">
        <f t="shared" si="3"/>
        <v>0.55376344086021501</v>
      </c>
      <c r="U220" t="s">
        <v>221</v>
      </c>
      <c r="V220" t="s">
        <v>295</v>
      </c>
    </row>
    <row r="221" spans="1:22" x14ac:dyDescent="0.25">
      <c r="A221">
        <v>220</v>
      </c>
      <c r="B221" t="s">
        <v>217</v>
      </c>
      <c r="C221" s="2">
        <v>43242</v>
      </c>
      <c r="D221" t="s">
        <v>37</v>
      </c>
      <c r="F221" t="s">
        <v>39</v>
      </c>
      <c r="G221">
        <v>4</v>
      </c>
      <c r="H221" t="s">
        <v>309</v>
      </c>
      <c r="I221" t="s">
        <v>310</v>
      </c>
      <c r="J221" t="s">
        <v>42</v>
      </c>
      <c r="K221" t="s">
        <v>311</v>
      </c>
      <c r="L221" t="s">
        <v>250</v>
      </c>
      <c r="M221" t="s">
        <v>101</v>
      </c>
      <c r="N221" t="s">
        <v>294</v>
      </c>
      <c r="O221">
        <v>120</v>
      </c>
      <c r="P221">
        <v>41.463414634146297</v>
      </c>
      <c r="Q221">
        <v>562.79999999999995</v>
      </c>
      <c r="R221">
        <v>1</v>
      </c>
      <c r="S221">
        <v>66.9675090252708</v>
      </c>
      <c r="T221">
        <f t="shared" si="3"/>
        <v>0.66967509025270799</v>
      </c>
      <c r="U221" t="s">
        <v>221</v>
      </c>
      <c r="V221" t="s">
        <v>295</v>
      </c>
    </row>
    <row r="222" spans="1:22" x14ac:dyDescent="0.25">
      <c r="A222">
        <v>221</v>
      </c>
      <c r="B222" t="s">
        <v>217</v>
      </c>
      <c r="C222" s="2">
        <v>43242</v>
      </c>
      <c r="D222" t="s">
        <v>37</v>
      </c>
      <c r="F222" t="s">
        <v>39</v>
      </c>
      <c r="G222">
        <v>4</v>
      </c>
      <c r="H222" t="s">
        <v>312</v>
      </c>
      <c r="I222" t="s">
        <v>313</v>
      </c>
      <c r="J222" t="s">
        <v>42</v>
      </c>
      <c r="K222" t="s">
        <v>314</v>
      </c>
      <c r="L222" t="s">
        <v>250</v>
      </c>
      <c r="M222" t="s">
        <v>101</v>
      </c>
      <c r="N222" t="s">
        <v>294</v>
      </c>
      <c r="O222">
        <v>50</v>
      </c>
      <c r="P222">
        <v>60.638297872340402</v>
      </c>
      <c r="Q222">
        <v>644</v>
      </c>
      <c r="R222">
        <v>1</v>
      </c>
      <c r="S222">
        <v>54.4</v>
      </c>
      <c r="T222">
        <f t="shared" si="3"/>
        <v>0.54400000000000004</v>
      </c>
      <c r="U222" t="s">
        <v>221</v>
      </c>
      <c r="V222" t="s">
        <v>295</v>
      </c>
    </row>
    <row r="223" spans="1:22" x14ac:dyDescent="0.25">
      <c r="A223">
        <v>222</v>
      </c>
      <c r="B223" t="s">
        <v>217</v>
      </c>
      <c r="C223" s="2">
        <v>43242</v>
      </c>
      <c r="D223" t="s">
        <v>37</v>
      </c>
      <c r="F223" t="s">
        <v>39</v>
      </c>
      <c r="G223">
        <v>4</v>
      </c>
      <c r="H223" t="s">
        <v>315</v>
      </c>
      <c r="I223" t="s">
        <v>316</v>
      </c>
      <c r="J223" t="s">
        <v>42</v>
      </c>
      <c r="K223" t="s">
        <v>317</v>
      </c>
      <c r="L223" t="s">
        <v>185</v>
      </c>
      <c r="M223" t="s">
        <v>101</v>
      </c>
      <c r="N223" t="s">
        <v>294</v>
      </c>
      <c r="O223">
        <v>42</v>
      </c>
      <c r="P223">
        <v>65.573770491803302</v>
      </c>
      <c r="Q223">
        <v>769.9</v>
      </c>
      <c r="R223">
        <v>0</v>
      </c>
      <c r="S223">
        <v>53.071895424836597</v>
      </c>
      <c r="T223">
        <f t="shared" si="3"/>
        <v>0.53071895424836601</v>
      </c>
      <c r="U223" t="s">
        <v>221</v>
      </c>
      <c r="V223" t="s">
        <v>295</v>
      </c>
    </row>
    <row r="224" spans="1:22" x14ac:dyDescent="0.25">
      <c r="A224">
        <v>223</v>
      </c>
      <c r="B224" t="s">
        <v>217</v>
      </c>
      <c r="C224" s="2">
        <v>43242</v>
      </c>
      <c r="D224" t="s">
        <v>37</v>
      </c>
      <c r="F224" t="s">
        <v>39</v>
      </c>
      <c r="G224">
        <v>4</v>
      </c>
      <c r="H224" t="s">
        <v>318</v>
      </c>
      <c r="I224" t="s">
        <v>319</v>
      </c>
      <c r="J224" t="s">
        <v>109</v>
      </c>
      <c r="K224" t="s">
        <v>320</v>
      </c>
      <c r="L224" t="s">
        <v>185</v>
      </c>
      <c r="M224" t="s">
        <v>101</v>
      </c>
      <c r="N224" t="s">
        <v>294</v>
      </c>
      <c r="O224">
        <v>120</v>
      </c>
      <c r="P224">
        <v>42.4657534246575</v>
      </c>
      <c r="Q224">
        <v>670.6</v>
      </c>
      <c r="R224">
        <v>1</v>
      </c>
      <c r="S224">
        <v>44.906444906444897</v>
      </c>
      <c r="T224">
        <f t="shared" si="3"/>
        <v>0.44906444906444898</v>
      </c>
      <c r="U224" t="s">
        <v>221</v>
      </c>
      <c r="V224" t="s">
        <v>295</v>
      </c>
    </row>
    <row r="225" spans="1:22" x14ac:dyDescent="0.25">
      <c r="A225">
        <v>224</v>
      </c>
      <c r="B225" t="s">
        <v>217</v>
      </c>
      <c r="C225" s="2">
        <v>43242</v>
      </c>
      <c r="D225" t="s">
        <v>37</v>
      </c>
      <c r="F225" t="s">
        <v>39</v>
      </c>
      <c r="G225">
        <v>4</v>
      </c>
      <c r="H225" t="s">
        <v>321</v>
      </c>
      <c r="I225" t="s">
        <v>322</v>
      </c>
      <c r="J225" t="s">
        <v>42</v>
      </c>
      <c r="K225" t="s">
        <v>323</v>
      </c>
      <c r="L225" t="s">
        <v>185</v>
      </c>
      <c r="M225" t="s">
        <v>101</v>
      </c>
      <c r="N225" t="s">
        <v>294</v>
      </c>
      <c r="O225">
        <v>75</v>
      </c>
      <c r="P225">
        <v>62.195121951219498</v>
      </c>
      <c r="Q225">
        <v>669.5</v>
      </c>
      <c r="R225">
        <v>1</v>
      </c>
      <c r="S225">
        <v>53.832752613240402</v>
      </c>
      <c r="T225">
        <f t="shared" si="3"/>
        <v>0.53832752613240398</v>
      </c>
      <c r="U225" t="s">
        <v>221</v>
      </c>
      <c r="V225" t="s">
        <v>295</v>
      </c>
    </row>
    <row r="226" spans="1:22" x14ac:dyDescent="0.25">
      <c r="A226">
        <v>225</v>
      </c>
      <c r="B226" t="s">
        <v>217</v>
      </c>
      <c r="C226" s="2">
        <v>43246</v>
      </c>
      <c r="D226" t="s">
        <v>37</v>
      </c>
      <c r="F226" t="s">
        <v>39</v>
      </c>
      <c r="G226">
        <v>5</v>
      </c>
      <c r="H226" t="s">
        <v>218</v>
      </c>
      <c r="I226" t="s">
        <v>219</v>
      </c>
      <c r="J226" t="s">
        <v>42</v>
      </c>
      <c r="K226" t="s">
        <v>220</v>
      </c>
      <c r="L226" t="s">
        <v>44</v>
      </c>
      <c r="M226" t="s">
        <v>45</v>
      </c>
      <c r="N226" t="s">
        <v>46</v>
      </c>
      <c r="O226">
        <v>33</v>
      </c>
      <c r="P226">
        <v>59.259259259259302</v>
      </c>
      <c r="Q226">
        <v>490.1</v>
      </c>
      <c r="R226">
        <v>0</v>
      </c>
      <c r="S226">
        <v>53.531598513011197</v>
      </c>
      <c r="T226">
        <f t="shared" si="3"/>
        <v>0.53531598513011192</v>
      </c>
      <c r="U226" t="s">
        <v>221</v>
      </c>
      <c r="V226" t="s">
        <v>48</v>
      </c>
    </row>
    <row r="227" spans="1:22" x14ac:dyDescent="0.25">
      <c r="A227">
        <v>226</v>
      </c>
      <c r="B227" t="s">
        <v>217</v>
      </c>
      <c r="C227" s="2">
        <v>43246</v>
      </c>
      <c r="D227" t="s">
        <v>37</v>
      </c>
      <c r="F227" t="s">
        <v>39</v>
      </c>
      <c r="G227">
        <v>5</v>
      </c>
      <c r="H227" t="s">
        <v>222</v>
      </c>
      <c r="I227" t="s">
        <v>223</v>
      </c>
      <c r="J227" t="s">
        <v>42</v>
      </c>
      <c r="K227" t="s">
        <v>224</v>
      </c>
      <c r="L227" t="s">
        <v>225</v>
      </c>
      <c r="M227" t="s">
        <v>45</v>
      </c>
      <c r="N227" t="s">
        <v>46</v>
      </c>
      <c r="O227">
        <v>34</v>
      </c>
      <c r="P227">
        <v>68.181818181818201</v>
      </c>
      <c r="Q227">
        <v>718.8</v>
      </c>
      <c r="R227">
        <v>1</v>
      </c>
      <c r="S227">
        <v>54.6436285097192</v>
      </c>
      <c r="T227">
        <f t="shared" si="3"/>
        <v>0.546436285097192</v>
      </c>
      <c r="U227" t="s">
        <v>221</v>
      </c>
      <c r="V227" t="s">
        <v>48</v>
      </c>
    </row>
    <row r="228" spans="1:22" x14ac:dyDescent="0.25">
      <c r="A228">
        <v>227</v>
      </c>
      <c r="B228" t="s">
        <v>217</v>
      </c>
      <c r="C228" s="2">
        <v>43246</v>
      </c>
      <c r="D228" t="s">
        <v>37</v>
      </c>
      <c r="F228" t="s">
        <v>39</v>
      </c>
      <c r="G228">
        <v>5</v>
      </c>
      <c r="H228" t="s">
        <v>226</v>
      </c>
      <c r="I228" t="s">
        <v>227</v>
      </c>
      <c r="J228" t="s">
        <v>42</v>
      </c>
      <c r="K228" t="s">
        <v>228</v>
      </c>
      <c r="L228" t="s">
        <v>225</v>
      </c>
      <c r="M228" t="s">
        <v>45</v>
      </c>
      <c r="N228" t="s">
        <v>46</v>
      </c>
      <c r="O228">
        <v>21</v>
      </c>
      <c r="P228">
        <v>74.468085106383</v>
      </c>
      <c r="Q228">
        <v>575.5</v>
      </c>
      <c r="R228">
        <v>0</v>
      </c>
      <c r="S228">
        <v>60.632183908046002</v>
      </c>
      <c r="T228">
        <f t="shared" si="3"/>
        <v>0.60632183908046</v>
      </c>
      <c r="U228" t="s">
        <v>221</v>
      </c>
      <c r="V228" t="s">
        <v>48</v>
      </c>
    </row>
    <row r="229" spans="1:22" x14ac:dyDescent="0.25">
      <c r="A229">
        <v>228</v>
      </c>
      <c r="B229" t="s">
        <v>217</v>
      </c>
      <c r="C229" s="2">
        <v>43246</v>
      </c>
      <c r="D229" t="s">
        <v>37</v>
      </c>
      <c r="F229" t="s">
        <v>39</v>
      </c>
      <c r="G229">
        <v>5</v>
      </c>
      <c r="H229" t="s">
        <v>229</v>
      </c>
      <c r="I229" t="s">
        <v>230</v>
      </c>
      <c r="J229" t="s">
        <v>42</v>
      </c>
      <c r="K229" t="s">
        <v>231</v>
      </c>
      <c r="L229" t="s">
        <v>232</v>
      </c>
      <c r="M229" t="s">
        <v>45</v>
      </c>
      <c r="N229" t="s">
        <v>46</v>
      </c>
      <c r="O229">
        <v>120</v>
      </c>
      <c r="P229">
        <v>14.285714285714301</v>
      </c>
      <c r="Q229">
        <v>407.2</v>
      </c>
      <c r="R229">
        <v>1</v>
      </c>
      <c r="S229">
        <v>59.285714285714299</v>
      </c>
      <c r="T229">
        <f t="shared" si="3"/>
        <v>0.59285714285714297</v>
      </c>
      <c r="U229" t="s">
        <v>221</v>
      </c>
      <c r="V229" t="s">
        <v>48</v>
      </c>
    </row>
    <row r="230" spans="1:22" x14ac:dyDescent="0.25">
      <c r="A230">
        <v>229</v>
      </c>
      <c r="B230" t="s">
        <v>217</v>
      </c>
      <c r="C230" s="2">
        <v>43246</v>
      </c>
      <c r="D230" t="s">
        <v>37</v>
      </c>
      <c r="F230" t="s">
        <v>39</v>
      </c>
      <c r="G230">
        <v>5</v>
      </c>
      <c r="H230" t="s">
        <v>233</v>
      </c>
      <c r="I230" t="s">
        <v>234</v>
      </c>
      <c r="J230" t="s">
        <v>42</v>
      </c>
      <c r="K230" t="s">
        <v>235</v>
      </c>
      <c r="L230" t="s">
        <v>232</v>
      </c>
      <c r="M230" t="s">
        <v>45</v>
      </c>
      <c r="N230" t="s">
        <v>46</v>
      </c>
      <c r="O230">
        <v>85</v>
      </c>
      <c r="P230">
        <v>75</v>
      </c>
      <c r="Q230">
        <v>547.5</v>
      </c>
      <c r="R230">
        <v>1</v>
      </c>
      <c r="S230">
        <v>66.243654822335003</v>
      </c>
      <c r="T230">
        <f t="shared" si="3"/>
        <v>0.66243654822335007</v>
      </c>
      <c r="U230" t="s">
        <v>221</v>
      </c>
      <c r="V230" t="s">
        <v>48</v>
      </c>
    </row>
    <row r="231" spans="1:22" x14ac:dyDescent="0.25">
      <c r="A231">
        <v>230</v>
      </c>
      <c r="B231" t="s">
        <v>217</v>
      </c>
      <c r="C231" s="2">
        <v>43246</v>
      </c>
      <c r="D231" t="s">
        <v>37</v>
      </c>
      <c r="F231" t="s">
        <v>39</v>
      </c>
      <c r="G231">
        <v>5</v>
      </c>
      <c r="H231" t="s">
        <v>236</v>
      </c>
      <c r="I231" t="s">
        <v>237</v>
      </c>
      <c r="J231" t="s">
        <v>42</v>
      </c>
      <c r="K231" t="s">
        <v>238</v>
      </c>
      <c r="L231" t="s">
        <v>239</v>
      </c>
      <c r="M231" t="s">
        <v>45</v>
      </c>
      <c r="N231" t="s">
        <v>46</v>
      </c>
      <c r="O231">
        <v>120</v>
      </c>
      <c r="P231">
        <v>48.170731707317103</v>
      </c>
      <c r="Q231">
        <v>795.1</v>
      </c>
      <c r="R231">
        <v>1</v>
      </c>
      <c r="S231">
        <v>56.214285714285701</v>
      </c>
      <c r="T231">
        <f t="shared" si="3"/>
        <v>0.56214285714285706</v>
      </c>
      <c r="U231" t="s">
        <v>221</v>
      </c>
      <c r="V231" t="s">
        <v>48</v>
      </c>
    </row>
    <row r="232" spans="1:22" x14ac:dyDescent="0.25">
      <c r="A232">
        <v>231</v>
      </c>
      <c r="B232" t="s">
        <v>217</v>
      </c>
      <c r="C232" s="2">
        <v>43246</v>
      </c>
      <c r="D232" t="s">
        <v>37</v>
      </c>
      <c r="F232" t="s">
        <v>39</v>
      </c>
      <c r="G232">
        <v>5</v>
      </c>
      <c r="H232" t="s">
        <v>240</v>
      </c>
      <c r="I232" t="s">
        <v>241</v>
      </c>
      <c r="J232" t="s">
        <v>42</v>
      </c>
      <c r="K232" t="s">
        <v>242</v>
      </c>
      <c r="L232" t="s">
        <v>111</v>
      </c>
      <c r="M232" t="s">
        <v>45</v>
      </c>
      <c r="N232" t="s">
        <v>46</v>
      </c>
      <c r="O232">
        <v>45</v>
      </c>
      <c r="P232">
        <v>59.375</v>
      </c>
      <c r="Q232">
        <v>558.4</v>
      </c>
      <c r="R232">
        <v>0</v>
      </c>
      <c r="S232">
        <v>53.024193548387103</v>
      </c>
      <c r="T232">
        <f t="shared" si="3"/>
        <v>0.530241935483871</v>
      </c>
      <c r="U232" t="s">
        <v>221</v>
      </c>
      <c r="V232" t="s">
        <v>48</v>
      </c>
    </row>
    <row r="233" spans="1:22" x14ac:dyDescent="0.25">
      <c r="A233">
        <v>232</v>
      </c>
      <c r="B233" t="s">
        <v>217</v>
      </c>
      <c r="C233" s="2">
        <v>43246</v>
      </c>
      <c r="D233" t="s">
        <v>37</v>
      </c>
      <c r="F233" t="s">
        <v>39</v>
      </c>
      <c r="G233">
        <v>5</v>
      </c>
      <c r="H233" t="s">
        <v>243</v>
      </c>
      <c r="I233" t="s">
        <v>244</v>
      </c>
      <c r="J233" t="s">
        <v>42</v>
      </c>
      <c r="K233" t="s">
        <v>245</v>
      </c>
      <c r="L233" t="s">
        <v>246</v>
      </c>
      <c r="M233" t="s">
        <v>45</v>
      </c>
      <c r="N233" t="s">
        <v>46</v>
      </c>
      <c r="O233">
        <v>40</v>
      </c>
      <c r="P233">
        <v>70</v>
      </c>
      <c r="Q233">
        <v>666.5</v>
      </c>
      <c r="R233">
        <v>0</v>
      </c>
      <c r="S233">
        <v>47.826086956521699</v>
      </c>
      <c r="T233">
        <f t="shared" si="3"/>
        <v>0.47826086956521702</v>
      </c>
      <c r="U233" t="s">
        <v>221</v>
      </c>
      <c r="V233" t="s">
        <v>48</v>
      </c>
    </row>
    <row r="234" spans="1:22" x14ac:dyDescent="0.25">
      <c r="A234">
        <v>233</v>
      </c>
      <c r="B234" t="s">
        <v>217</v>
      </c>
      <c r="C234" s="2">
        <v>43246</v>
      </c>
      <c r="D234" t="s">
        <v>37</v>
      </c>
      <c r="F234" t="s">
        <v>39</v>
      </c>
      <c r="G234">
        <v>5</v>
      </c>
      <c r="H234" t="s">
        <v>247</v>
      </c>
      <c r="I234" t="s">
        <v>248</v>
      </c>
      <c r="J234" t="s">
        <v>42</v>
      </c>
      <c r="K234" t="s">
        <v>249</v>
      </c>
      <c r="L234" t="s">
        <v>250</v>
      </c>
      <c r="M234" t="s">
        <v>45</v>
      </c>
      <c r="N234" t="s">
        <v>46</v>
      </c>
      <c r="O234">
        <v>42</v>
      </c>
      <c r="P234">
        <v>7.4074074074074101</v>
      </c>
      <c r="Q234">
        <v>603.5</v>
      </c>
      <c r="R234">
        <v>1</v>
      </c>
      <c r="S234">
        <v>49.1094147582697</v>
      </c>
      <c r="T234">
        <f t="shared" si="3"/>
        <v>0.49109414758269698</v>
      </c>
      <c r="U234" t="s">
        <v>221</v>
      </c>
      <c r="V234" t="s">
        <v>48</v>
      </c>
    </row>
    <row r="235" spans="1:22" x14ac:dyDescent="0.25">
      <c r="A235">
        <v>234</v>
      </c>
      <c r="B235" t="s">
        <v>217</v>
      </c>
      <c r="C235" s="2">
        <v>43246</v>
      </c>
      <c r="D235" t="s">
        <v>37</v>
      </c>
      <c r="F235" t="s">
        <v>39</v>
      </c>
      <c r="G235">
        <v>4</v>
      </c>
      <c r="H235" t="s">
        <v>251</v>
      </c>
      <c r="I235" t="s">
        <v>252</v>
      </c>
      <c r="J235" t="s">
        <v>42</v>
      </c>
      <c r="K235" t="s">
        <v>253</v>
      </c>
      <c r="L235" t="s">
        <v>59</v>
      </c>
      <c r="M235" t="s">
        <v>45</v>
      </c>
      <c r="N235" t="s">
        <v>46</v>
      </c>
      <c r="O235">
        <v>120</v>
      </c>
      <c r="P235">
        <v>35.714285714285701</v>
      </c>
      <c r="Q235">
        <v>498.2</v>
      </c>
      <c r="R235">
        <v>1</v>
      </c>
      <c r="S235">
        <v>59.7131681877445</v>
      </c>
      <c r="T235">
        <f t="shared" si="3"/>
        <v>0.59713168187744503</v>
      </c>
      <c r="U235" t="s">
        <v>221</v>
      </c>
      <c r="V235" t="s">
        <v>48</v>
      </c>
    </row>
    <row r="236" spans="1:22" x14ac:dyDescent="0.25">
      <c r="A236">
        <v>235</v>
      </c>
      <c r="B236" t="s">
        <v>217</v>
      </c>
      <c r="C236" s="2">
        <v>43246</v>
      </c>
      <c r="D236" t="s">
        <v>37</v>
      </c>
      <c r="F236" t="s">
        <v>39</v>
      </c>
      <c r="G236">
        <v>5</v>
      </c>
      <c r="H236" t="s">
        <v>254</v>
      </c>
      <c r="I236" t="s">
        <v>255</v>
      </c>
      <c r="J236" t="s">
        <v>42</v>
      </c>
      <c r="K236" t="s">
        <v>256</v>
      </c>
      <c r="L236" t="s">
        <v>177</v>
      </c>
      <c r="M236" t="s">
        <v>101</v>
      </c>
      <c r="N236" t="s">
        <v>257</v>
      </c>
      <c r="O236">
        <v>120</v>
      </c>
      <c r="P236">
        <v>42.2222222222222</v>
      </c>
      <c r="Q236">
        <v>557.5</v>
      </c>
      <c r="R236">
        <v>1</v>
      </c>
      <c r="S236">
        <v>61.381254404510202</v>
      </c>
      <c r="T236">
        <f t="shared" si="3"/>
        <v>0.61381254404510199</v>
      </c>
      <c r="U236" t="s">
        <v>221</v>
      </c>
      <c r="V236" t="s">
        <v>48</v>
      </c>
    </row>
    <row r="237" spans="1:22" x14ac:dyDescent="0.25">
      <c r="A237">
        <v>236</v>
      </c>
      <c r="B237" t="s">
        <v>217</v>
      </c>
      <c r="C237" s="2">
        <v>43246</v>
      </c>
      <c r="D237" t="s">
        <v>37</v>
      </c>
      <c r="F237" t="s">
        <v>39</v>
      </c>
      <c r="G237">
        <v>5</v>
      </c>
      <c r="H237" t="s">
        <v>258</v>
      </c>
      <c r="I237" t="s">
        <v>259</v>
      </c>
      <c r="J237" t="s">
        <v>42</v>
      </c>
      <c r="K237" t="s">
        <v>260</v>
      </c>
      <c r="L237" t="s">
        <v>261</v>
      </c>
      <c r="M237" t="s">
        <v>45</v>
      </c>
      <c r="N237" t="s">
        <v>257</v>
      </c>
      <c r="O237">
        <v>81</v>
      </c>
      <c r="P237">
        <v>52.127659574468098</v>
      </c>
      <c r="Q237">
        <v>751.3</v>
      </c>
      <c r="R237">
        <v>1</v>
      </c>
      <c r="S237">
        <v>56.633970056788797</v>
      </c>
      <c r="T237">
        <f t="shared" si="3"/>
        <v>0.56633970056788796</v>
      </c>
      <c r="U237" t="s">
        <v>221</v>
      </c>
      <c r="V237" t="s">
        <v>48</v>
      </c>
    </row>
    <row r="238" spans="1:22" x14ac:dyDescent="0.25">
      <c r="A238">
        <v>237</v>
      </c>
      <c r="B238" t="s">
        <v>217</v>
      </c>
      <c r="C238" s="2">
        <v>43246</v>
      </c>
      <c r="D238" t="s">
        <v>37</v>
      </c>
      <c r="F238" t="s">
        <v>39</v>
      </c>
      <c r="G238">
        <v>5</v>
      </c>
      <c r="H238" t="s">
        <v>262</v>
      </c>
      <c r="I238" t="s">
        <v>263</v>
      </c>
      <c r="J238" t="s">
        <v>42</v>
      </c>
      <c r="K238" t="s">
        <v>264</v>
      </c>
      <c r="L238" t="s">
        <v>111</v>
      </c>
      <c r="M238" t="s">
        <v>101</v>
      </c>
      <c r="N238" t="s">
        <v>257</v>
      </c>
      <c r="O238">
        <v>65</v>
      </c>
      <c r="P238">
        <v>77.049180327868896</v>
      </c>
      <c r="Q238">
        <v>680.4</v>
      </c>
      <c r="R238">
        <v>1</v>
      </c>
      <c r="S238">
        <v>48.361934477379101</v>
      </c>
      <c r="T238">
        <f t="shared" si="3"/>
        <v>0.48361934477379104</v>
      </c>
      <c r="U238" t="s">
        <v>221</v>
      </c>
      <c r="V238" t="s">
        <v>48</v>
      </c>
    </row>
    <row r="239" spans="1:22" x14ac:dyDescent="0.25">
      <c r="A239">
        <v>238</v>
      </c>
      <c r="B239" t="s">
        <v>217</v>
      </c>
      <c r="C239" s="2">
        <v>43246</v>
      </c>
      <c r="D239" t="s">
        <v>37</v>
      </c>
      <c r="F239" t="s">
        <v>39</v>
      </c>
      <c r="G239">
        <v>5</v>
      </c>
      <c r="H239" t="s">
        <v>265</v>
      </c>
      <c r="I239" t="s">
        <v>266</v>
      </c>
      <c r="J239" t="s">
        <v>42</v>
      </c>
      <c r="K239" t="s">
        <v>267</v>
      </c>
      <c r="L239" t="s">
        <v>268</v>
      </c>
      <c r="M239" t="s">
        <v>45</v>
      </c>
      <c r="N239" t="s">
        <v>257</v>
      </c>
      <c r="O239">
        <v>120</v>
      </c>
      <c r="P239">
        <v>44.7368421052632</v>
      </c>
      <c r="Q239">
        <v>533.6</v>
      </c>
      <c r="R239">
        <v>1</v>
      </c>
      <c r="S239">
        <v>65.8333333333333</v>
      </c>
      <c r="T239">
        <f t="shared" si="3"/>
        <v>0.65833333333333299</v>
      </c>
      <c r="U239" t="s">
        <v>221</v>
      </c>
      <c r="V239" t="s">
        <v>48</v>
      </c>
    </row>
    <row r="240" spans="1:22" x14ac:dyDescent="0.25">
      <c r="A240">
        <v>239</v>
      </c>
      <c r="B240" t="s">
        <v>217</v>
      </c>
      <c r="C240" s="2">
        <v>43246</v>
      </c>
      <c r="D240" t="s">
        <v>37</v>
      </c>
      <c r="F240" t="s">
        <v>39</v>
      </c>
      <c r="G240">
        <v>5</v>
      </c>
      <c r="H240" t="s">
        <v>269</v>
      </c>
      <c r="I240" t="s">
        <v>270</v>
      </c>
      <c r="J240" t="s">
        <v>42</v>
      </c>
      <c r="K240" t="s">
        <v>271</v>
      </c>
      <c r="L240" t="s">
        <v>111</v>
      </c>
      <c r="M240" t="s">
        <v>45</v>
      </c>
      <c r="N240" t="s">
        <v>257</v>
      </c>
      <c r="O240">
        <v>120</v>
      </c>
      <c r="P240">
        <v>25.862068965517199</v>
      </c>
      <c r="Q240">
        <v>378.2</v>
      </c>
      <c r="R240">
        <v>1</v>
      </c>
      <c r="S240">
        <v>80.939226519336998</v>
      </c>
      <c r="T240">
        <f t="shared" si="3"/>
        <v>0.80939226519336993</v>
      </c>
      <c r="U240" t="s">
        <v>221</v>
      </c>
      <c r="V240" t="s">
        <v>48</v>
      </c>
    </row>
    <row r="241" spans="1:22" x14ac:dyDescent="0.25">
      <c r="A241">
        <v>240</v>
      </c>
      <c r="B241" t="s">
        <v>217</v>
      </c>
      <c r="C241" s="2">
        <v>43246</v>
      </c>
      <c r="D241" t="s">
        <v>37</v>
      </c>
      <c r="F241" t="s">
        <v>39</v>
      </c>
      <c r="G241">
        <v>5</v>
      </c>
      <c r="H241" t="s">
        <v>272</v>
      </c>
      <c r="I241" t="s">
        <v>273</v>
      </c>
      <c r="J241" t="s">
        <v>42</v>
      </c>
      <c r="K241" t="s">
        <v>274</v>
      </c>
      <c r="L241" t="s">
        <v>275</v>
      </c>
      <c r="M241" t="s">
        <v>101</v>
      </c>
      <c r="N241" t="s">
        <v>257</v>
      </c>
      <c r="O241">
        <v>120</v>
      </c>
      <c r="P241">
        <v>25.118483412322298</v>
      </c>
      <c r="Q241">
        <v>374.8</v>
      </c>
      <c r="R241">
        <v>1</v>
      </c>
      <c r="S241">
        <v>68.411214953270999</v>
      </c>
      <c r="T241">
        <f t="shared" si="3"/>
        <v>0.68411214953271005</v>
      </c>
      <c r="U241" t="s">
        <v>221</v>
      </c>
      <c r="V241" t="s">
        <v>48</v>
      </c>
    </row>
    <row r="242" spans="1:22" x14ac:dyDescent="0.25">
      <c r="A242">
        <v>241</v>
      </c>
      <c r="B242" t="s">
        <v>217</v>
      </c>
      <c r="C242" s="2">
        <v>43246</v>
      </c>
      <c r="D242" t="s">
        <v>37</v>
      </c>
      <c r="F242" t="s">
        <v>39</v>
      </c>
      <c r="G242">
        <v>5</v>
      </c>
      <c r="H242" t="s">
        <v>276</v>
      </c>
      <c r="I242" t="s">
        <v>277</v>
      </c>
      <c r="J242" t="s">
        <v>42</v>
      </c>
      <c r="K242" t="s">
        <v>278</v>
      </c>
      <c r="L242" t="s">
        <v>177</v>
      </c>
      <c r="M242" t="s">
        <v>101</v>
      </c>
      <c r="N242" t="s">
        <v>257</v>
      </c>
      <c r="O242">
        <v>120</v>
      </c>
      <c r="P242">
        <v>78</v>
      </c>
      <c r="Q242">
        <v>801</v>
      </c>
      <c r="R242">
        <v>1</v>
      </c>
      <c r="S242">
        <v>50.8058326937836</v>
      </c>
      <c r="T242">
        <f t="shared" si="3"/>
        <v>0.50805832693783604</v>
      </c>
      <c r="U242" t="s">
        <v>221</v>
      </c>
      <c r="V242" t="s">
        <v>48</v>
      </c>
    </row>
    <row r="243" spans="1:22" x14ac:dyDescent="0.25">
      <c r="A243">
        <v>242</v>
      </c>
      <c r="B243" t="s">
        <v>217</v>
      </c>
      <c r="C243" s="2">
        <v>43246</v>
      </c>
      <c r="D243" t="s">
        <v>37</v>
      </c>
      <c r="F243" t="s">
        <v>39</v>
      </c>
      <c r="G243">
        <v>5</v>
      </c>
      <c r="H243" t="s">
        <v>279</v>
      </c>
      <c r="I243" t="s">
        <v>280</v>
      </c>
      <c r="J243" t="s">
        <v>42</v>
      </c>
      <c r="K243" t="s">
        <v>281</v>
      </c>
      <c r="L243" t="s">
        <v>177</v>
      </c>
      <c r="M243" t="s">
        <v>45</v>
      </c>
      <c r="N243" t="s">
        <v>257</v>
      </c>
      <c r="O243">
        <v>40</v>
      </c>
      <c r="P243">
        <v>62.5</v>
      </c>
      <c r="Q243">
        <v>670.7</v>
      </c>
      <c r="R243">
        <v>1</v>
      </c>
      <c r="S243">
        <v>60.223880597014897</v>
      </c>
      <c r="T243">
        <f t="shared" si="3"/>
        <v>0.602238805970149</v>
      </c>
      <c r="U243" t="s">
        <v>221</v>
      </c>
      <c r="V243" t="s">
        <v>48</v>
      </c>
    </row>
    <row r="244" spans="1:22" x14ac:dyDescent="0.25">
      <c r="A244">
        <v>243</v>
      </c>
      <c r="B244" t="s">
        <v>217</v>
      </c>
      <c r="C244" s="2">
        <v>43246</v>
      </c>
      <c r="D244" t="s">
        <v>37</v>
      </c>
      <c r="F244" t="s">
        <v>39</v>
      </c>
      <c r="G244">
        <v>5</v>
      </c>
      <c r="H244" t="s">
        <v>282</v>
      </c>
      <c r="I244" t="s">
        <v>283</v>
      </c>
      <c r="J244" t="s">
        <v>42</v>
      </c>
      <c r="K244" t="s">
        <v>284</v>
      </c>
      <c r="L244" t="s">
        <v>285</v>
      </c>
      <c r="M244" t="s">
        <v>101</v>
      </c>
      <c r="N244" t="s">
        <v>257</v>
      </c>
      <c r="O244">
        <v>120</v>
      </c>
      <c r="P244">
        <v>24.571428571428601</v>
      </c>
      <c r="Q244">
        <v>498.4</v>
      </c>
      <c r="R244">
        <v>1</v>
      </c>
      <c r="S244">
        <v>53.464322647362998</v>
      </c>
      <c r="T244">
        <f t="shared" si="3"/>
        <v>0.53464322647362994</v>
      </c>
      <c r="U244" t="s">
        <v>221</v>
      </c>
      <c r="V244" t="s">
        <v>48</v>
      </c>
    </row>
    <row r="245" spans="1:22" x14ac:dyDescent="0.25">
      <c r="A245">
        <v>244</v>
      </c>
      <c r="B245" t="s">
        <v>217</v>
      </c>
      <c r="C245" s="2">
        <v>43246</v>
      </c>
      <c r="D245" t="s">
        <v>37</v>
      </c>
      <c r="F245" t="s">
        <v>39</v>
      </c>
      <c r="G245">
        <v>5</v>
      </c>
      <c r="H245" t="s">
        <v>286</v>
      </c>
      <c r="I245" t="s">
        <v>287</v>
      </c>
      <c r="J245" t="s">
        <v>42</v>
      </c>
      <c r="K245" t="s">
        <v>288</v>
      </c>
      <c r="L245" t="s">
        <v>289</v>
      </c>
      <c r="M245" t="s">
        <v>45</v>
      </c>
      <c r="N245" t="s">
        <v>257</v>
      </c>
      <c r="O245">
        <v>74</v>
      </c>
      <c r="P245">
        <v>38.043478260869598</v>
      </c>
      <c r="Q245">
        <v>439.9</v>
      </c>
      <c r="R245">
        <v>1</v>
      </c>
      <c r="S245">
        <v>56.3470319634703</v>
      </c>
      <c r="T245">
        <f t="shared" si="3"/>
        <v>0.56347031963470295</v>
      </c>
      <c r="U245" t="s">
        <v>221</v>
      </c>
      <c r="V245" t="s">
        <v>48</v>
      </c>
    </row>
    <row r="246" spans="1:22" x14ac:dyDescent="0.25">
      <c r="A246">
        <v>245</v>
      </c>
      <c r="B246" t="s">
        <v>217</v>
      </c>
      <c r="C246" s="2">
        <v>43246</v>
      </c>
      <c r="D246" t="s">
        <v>37</v>
      </c>
      <c r="F246" t="s">
        <v>39</v>
      </c>
      <c r="G246">
        <v>5</v>
      </c>
      <c r="H246" t="s">
        <v>290</v>
      </c>
      <c r="I246" t="s">
        <v>291</v>
      </c>
      <c r="J246" t="s">
        <v>42</v>
      </c>
      <c r="K246" t="s">
        <v>292</v>
      </c>
      <c r="L246" t="s">
        <v>293</v>
      </c>
      <c r="M246" t="s">
        <v>101</v>
      </c>
      <c r="N246" t="s">
        <v>294</v>
      </c>
      <c r="O246">
        <v>55</v>
      </c>
      <c r="P246">
        <v>68.464730290456401</v>
      </c>
      <c r="Q246">
        <v>623.1</v>
      </c>
      <c r="R246">
        <v>1</v>
      </c>
      <c r="S246">
        <v>62.393162393162399</v>
      </c>
      <c r="T246">
        <f t="shared" si="3"/>
        <v>0.62393162393162394</v>
      </c>
      <c r="U246" t="s">
        <v>221</v>
      </c>
      <c r="V246" t="s">
        <v>295</v>
      </c>
    </row>
    <row r="247" spans="1:22" x14ac:dyDescent="0.25">
      <c r="A247">
        <v>246</v>
      </c>
      <c r="B247" t="s">
        <v>217</v>
      </c>
      <c r="C247" s="2">
        <v>43246</v>
      </c>
      <c r="D247" t="s">
        <v>37</v>
      </c>
      <c r="F247" t="s">
        <v>39</v>
      </c>
      <c r="G247">
        <v>5</v>
      </c>
      <c r="H247" t="s">
        <v>296</v>
      </c>
      <c r="I247" t="s">
        <v>297</v>
      </c>
      <c r="J247" t="s">
        <v>42</v>
      </c>
      <c r="K247" t="s">
        <v>298</v>
      </c>
      <c r="L247" t="s">
        <v>293</v>
      </c>
      <c r="M247" t="s">
        <v>101</v>
      </c>
      <c r="N247" t="s">
        <v>294</v>
      </c>
      <c r="O247">
        <v>14</v>
      </c>
      <c r="P247">
        <v>75.961538461538495</v>
      </c>
      <c r="Q247">
        <v>713</v>
      </c>
      <c r="R247">
        <v>0</v>
      </c>
      <c r="S247">
        <v>63.843236409608103</v>
      </c>
      <c r="T247">
        <f t="shared" si="3"/>
        <v>0.63843236409608106</v>
      </c>
      <c r="U247" t="s">
        <v>221</v>
      </c>
      <c r="V247" t="s">
        <v>295</v>
      </c>
    </row>
    <row r="248" spans="1:22" x14ac:dyDescent="0.25">
      <c r="A248">
        <v>247</v>
      </c>
      <c r="B248" t="s">
        <v>217</v>
      </c>
      <c r="C248" s="2">
        <v>43246</v>
      </c>
      <c r="D248" t="s">
        <v>37</v>
      </c>
      <c r="F248" t="s">
        <v>39</v>
      </c>
      <c r="G248">
        <v>5</v>
      </c>
      <c r="H248" t="s">
        <v>299</v>
      </c>
      <c r="I248" t="s">
        <v>300</v>
      </c>
      <c r="J248" t="s">
        <v>42</v>
      </c>
      <c r="K248" t="s">
        <v>301</v>
      </c>
      <c r="L248" t="s">
        <v>302</v>
      </c>
      <c r="M248" t="s">
        <v>45</v>
      </c>
      <c r="N248" t="s">
        <v>294</v>
      </c>
      <c r="O248">
        <v>23</v>
      </c>
      <c r="P248">
        <v>55.725190839694697</v>
      </c>
      <c r="Q248">
        <v>469.9</v>
      </c>
      <c r="R248">
        <v>1</v>
      </c>
      <c r="S248">
        <v>77.794911333847296</v>
      </c>
      <c r="T248">
        <f t="shared" si="3"/>
        <v>0.77794911333847294</v>
      </c>
      <c r="U248" t="s">
        <v>221</v>
      </c>
      <c r="V248" t="s">
        <v>295</v>
      </c>
    </row>
    <row r="249" spans="1:22" x14ac:dyDescent="0.25">
      <c r="A249">
        <v>248</v>
      </c>
      <c r="B249" t="s">
        <v>217</v>
      </c>
      <c r="C249" s="2">
        <v>43246</v>
      </c>
      <c r="D249" t="s">
        <v>37</v>
      </c>
      <c r="F249" t="s">
        <v>39</v>
      </c>
      <c r="G249">
        <v>5</v>
      </c>
      <c r="H249" t="s">
        <v>303</v>
      </c>
      <c r="I249" t="s">
        <v>304</v>
      </c>
      <c r="J249" t="s">
        <v>42</v>
      </c>
      <c r="K249" t="s">
        <v>305</v>
      </c>
      <c r="L249" t="s">
        <v>250</v>
      </c>
      <c r="M249" t="s">
        <v>101</v>
      </c>
      <c r="N249" t="s">
        <v>294</v>
      </c>
      <c r="O249">
        <v>120</v>
      </c>
      <c r="P249">
        <v>38.775510204081598</v>
      </c>
      <c r="Q249">
        <v>480.2</v>
      </c>
      <c r="R249">
        <v>1</v>
      </c>
      <c r="S249">
        <v>51.894736842105303</v>
      </c>
      <c r="T249">
        <f t="shared" si="3"/>
        <v>0.51894736842105305</v>
      </c>
      <c r="U249" t="s">
        <v>221</v>
      </c>
      <c r="V249" t="s">
        <v>295</v>
      </c>
    </row>
    <row r="250" spans="1:22" x14ac:dyDescent="0.25">
      <c r="A250">
        <v>249</v>
      </c>
      <c r="B250" t="s">
        <v>217</v>
      </c>
      <c r="C250" s="2">
        <v>43246</v>
      </c>
      <c r="D250" t="s">
        <v>37</v>
      </c>
      <c r="F250" t="s">
        <v>39</v>
      </c>
      <c r="G250">
        <v>5</v>
      </c>
      <c r="H250" t="s">
        <v>306</v>
      </c>
      <c r="I250" t="s">
        <v>307</v>
      </c>
      <c r="J250" t="s">
        <v>42</v>
      </c>
      <c r="K250" t="s">
        <v>308</v>
      </c>
      <c r="L250" t="s">
        <v>250</v>
      </c>
      <c r="M250" t="s">
        <v>101</v>
      </c>
      <c r="N250" t="s">
        <v>294</v>
      </c>
      <c r="O250">
        <v>120</v>
      </c>
      <c r="P250">
        <v>55.357142857142897</v>
      </c>
      <c r="Q250">
        <v>636.20000000000005</v>
      </c>
      <c r="R250">
        <v>1</v>
      </c>
      <c r="S250">
        <v>59.735099337748302</v>
      </c>
      <c r="T250">
        <f t="shared" si="3"/>
        <v>0.59735099337748299</v>
      </c>
      <c r="U250" t="s">
        <v>221</v>
      </c>
      <c r="V250" t="s">
        <v>295</v>
      </c>
    </row>
    <row r="251" spans="1:22" x14ac:dyDescent="0.25">
      <c r="A251">
        <v>250</v>
      </c>
      <c r="B251" t="s">
        <v>217</v>
      </c>
      <c r="C251" s="2">
        <v>43246</v>
      </c>
      <c r="D251" t="s">
        <v>37</v>
      </c>
      <c r="F251" t="s">
        <v>39</v>
      </c>
      <c r="G251">
        <v>5</v>
      </c>
      <c r="H251" t="s">
        <v>309</v>
      </c>
      <c r="I251" t="s">
        <v>310</v>
      </c>
      <c r="J251" t="s">
        <v>42</v>
      </c>
      <c r="K251" t="s">
        <v>311</v>
      </c>
      <c r="L251" t="s">
        <v>250</v>
      </c>
      <c r="M251" t="s">
        <v>101</v>
      </c>
      <c r="N251" t="s">
        <v>294</v>
      </c>
      <c r="O251">
        <v>120</v>
      </c>
      <c r="P251">
        <v>58.947368421052602</v>
      </c>
      <c r="Q251">
        <v>491.9</v>
      </c>
      <c r="R251">
        <v>1</v>
      </c>
      <c r="S251">
        <v>68.020893789901294</v>
      </c>
      <c r="T251">
        <f t="shared" si="3"/>
        <v>0.68020893789901293</v>
      </c>
      <c r="U251" t="s">
        <v>221</v>
      </c>
      <c r="V251" t="s">
        <v>295</v>
      </c>
    </row>
    <row r="252" spans="1:22" x14ac:dyDescent="0.25">
      <c r="A252">
        <v>251</v>
      </c>
      <c r="B252" t="s">
        <v>217</v>
      </c>
      <c r="C252" s="2">
        <v>43246</v>
      </c>
      <c r="D252" t="s">
        <v>37</v>
      </c>
      <c r="F252" t="s">
        <v>39</v>
      </c>
      <c r="G252">
        <v>5</v>
      </c>
      <c r="H252" t="s">
        <v>312</v>
      </c>
      <c r="I252" t="s">
        <v>313</v>
      </c>
      <c r="J252" t="s">
        <v>42</v>
      </c>
      <c r="K252" t="s">
        <v>314</v>
      </c>
      <c r="L252" t="s">
        <v>250</v>
      </c>
      <c r="M252" t="s">
        <v>101</v>
      </c>
      <c r="N252" t="s">
        <v>294</v>
      </c>
      <c r="O252">
        <v>40</v>
      </c>
      <c r="P252">
        <v>61.607142857142897</v>
      </c>
      <c r="Q252">
        <v>396.6</v>
      </c>
      <c r="R252">
        <v>1</v>
      </c>
      <c r="S252">
        <v>57.108721624850702</v>
      </c>
      <c r="T252">
        <f t="shared" si="3"/>
        <v>0.571087216248507</v>
      </c>
      <c r="U252" t="s">
        <v>221</v>
      </c>
      <c r="V252" t="s">
        <v>295</v>
      </c>
    </row>
    <row r="253" spans="1:22" x14ac:dyDescent="0.25">
      <c r="A253">
        <v>252</v>
      </c>
      <c r="B253" t="s">
        <v>217</v>
      </c>
      <c r="C253" s="2">
        <v>43246</v>
      </c>
      <c r="D253" t="s">
        <v>37</v>
      </c>
      <c r="F253" t="s">
        <v>39</v>
      </c>
      <c r="G253">
        <v>5</v>
      </c>
      <c r="H253" t="s">
        <v>315</v>
      </c>
      <c r="I253" t="s">
        <v>316</v>
      </c>
      <c r="J253" t="s">
        <v>42</v>
      </c>
      <c r="K253" t="s">
        <v>317</v>
      </c>
      <c r="L253" t="s">
        <v>185</v>
      </c>
      <c r="M253" t="s">
        <v>101</v>
      </c>
      <c r="N253" t="s">
        <v>294</v>
      </c>
      <c r="O253">
        <v>51</v>
      </c>
      <c r="P253">
        <v>61.290322580645203</v>
      </c>
      <c r="Q253">
        <v>729.9</v>
      </c>
      <c r="R253">
        <v>0</v>
      </c>
      <c r="S253">
        <v>57.142857142857203</v>
      </c>
      <c r="T253">
        <f t="shared" si="3"/>
        <v>0.57142857142857206</v>
      </c>
      <c r="U253" t="s">
        <v>221</v>
      </c>
      <c r="V253" t="s">
        <v>295</v>
      </c>
    </row>
    <row r="254" spans="1:22" x14ac:dyDescent="0.25">
      <c r="A254">
        <v>253</v>
      </c>
      <c r="B254" t="s">
        <v>217</v>
      </c>
      <c r="C254" s="2">
        <v>43246</v>
      </c>
      <c r="D254" t="s">
        <v>37</v>
      </c>
      <c r="F254" t="s">
        <v>39</v>
      </c>
      <c r="G254">
        <v>5</v>
      </c>
      <c r="H254" t="s">
        <v>318</v>
      </c>
      <c r="I254" t="s">
        <v>319</v>
      </c>
      <c r="J254" t="s">
        <v>109</v>
      </c>
      <c r="K254" t="s">
        <v>320</v>
      </c>
      <c r="L254" t="s">
        <v>185</v>
      </c>
      <c r="M254" t="s">
        <v>101</v>
      </c>
      <c r="N254" t="s">
        <v>294</v>
      </c>
      <c r="O254">
        <v>100</v>
      </c>
      <c r="P254">
        <v>47.457627118644098</v>
      </c>
      <c r="Q254">
        <v>676.1</v>
      </c>
      <c r="R254">
        <v>0</v>
      </c>
      <c r="S254">
        <v>47.748592870544101</v>
      </c>
      <c r="T254">
        <f t="shared" si="3"/>
        <v>0.47748592870544099</v>
      </c>
      <c r="U254" t="s">
        <v>221</v>
      </c>
      <c r="V254" t="s">
        <v>295</v>
      </c>
    </row>
    <row r="255" spans="1:22" x14ac:dyDescent="0.25">
      <c r="A255">
        <v>254</v>
      </c>
      <c r="B255" t="s">
        <v>217</v>
      </c>
      <c r="C255" s="2">
        <v>43246</v>
      </c>
      <c r="D255" t="s">
        <v>37</v>
      </c>
      <c r="F255" t="s">
        <v>39</v>
      </c>
      <c r="G255">
        <v>5</v>
      </c>
      <c r="H255" t="s">
        <v>321</v>
      </c>
      <c r="I255" t="s">
        <v>322</v>
      </c>
      <c r="J255" t="s">
        <v>42</v>
      </c>
      <c r="K255" t="s">
        <v>323</v>
      </c>
      <c r="L255" t="s">
        <v>185</v>
      </c>
      <c r="M255" t="s">
        <v>101</v>
      </c>
      <c r="N255" t="s">
        <v>294</v>
      </c>
      <c r="O255">
        <v>120</v>
      </c>
      <c r="P255">
        <v>49.743589743589702</v>
      </c>
      <c r="Q255">
        <v>758.5</v>
      </c>
      <c r="R255">
        <v>1</v>
      </c>
      <c r="S255">
        <v>50.943396226415103</v>
      </c>
      <c r="T255">
        <f t="shared" si="3"/>
        <v>0.50943396226415105</v>
      </c>
      <c r="U255" t="s">
        <v>221</v>
      </c>
      <c r="V255" t="s">
        <v>295</v>
      </c>
    </row>
    <row r="256" spans="1:22" x14ac:dyDescent="0.25">
      <c r="A256">
        <v>255</v>
      </c>
      <c r="B256" t="s">
        <v>217</v>
      </c>
      <c r="C256" s="2">
        <v>43258</v>
      </c>
      <c r="D256" t="s">
        <v>37</v>
      </c>
      <c r="F256" t="s">
        <v>39</v>
      </c>
      <c r="G256">
        <v>6</v>
      </c>
      <c r="H256" t="s">
        <v>218</v>
      </c>
      <c r="I256" t="s">
        <v>219</v>
      </c>
      <c r="J256" t="s">
        <v>42</v>
      </c>
      <c r="K256" t="s">
        <v>220</v>
      </c>
      <c r="L256" t="s">
        <v>44</v>
      </c>
      <c r="M256" t="s">
        <v>45</v>
      </c>
      <c r="N256" t="s">
        <v>46</v>
      </c>
      <c r="O256">
        <v>48</v>
      </c>
      <c r="P256">
        <v>64.814814814814795</v>
      </c>
      <c r="Q256">
        <v>594</v>
      </c>
      <c r="R256">
        <v>1</v>
      </c>
      <c r="S256">
        <v>51.574803149606304</v>
      </c>
      <c r="T256">
        <f t="shared" si="3"/>
        <v>0.51574803149606308</v>
      </c>
      <c r="U256" t="s">
        <v>221</v>
      </c>
      <c r="V256" t="s">
        <v>48</v>
      </c>
    </row>
    <row r="257" spans="1:22" x14ac:dyDescent="0.25">
      <c r="A257">
        <v>256</v>
      </c>
      <c r="B257" t="s">
        <v>217</v>
      </c>
      <c r="C257" s="2">
        <v>43258</v>
      </c>
      <c r="D257" t="s">
        <v>37</v>
      </c>
      <c r="F257" t="s">
        <v>39</v>
      </c>
      <c r="G257">
        <v>6</v>
      </c>
      <c r="H257" t="s">
        <v>222</v>
      </c>
      <c r="I257" t="s">
        <v>223</v>
      </c>
      <c r="J257" t="s">
        <v>42</v>
      </c>
      <c r="K257" t="s">
        <v>224</v>
      </c>
      <c r="L257" t="s">
        <v>225</v>
      </c>
      <c r="M257" t="s">
        <v>45</v>
      </c>
      <c r="N257" t="s">
        <v>46</v>
      </c>
      <c r="O257">
        <v>55</v>
      </c>
      <c r="P257">
        <v>73.239436619718305</v>
      </c>
      <c r="Q257">
        <v>665.5</v>
      </c>
      <c r="R257">
        <v>0</v>
      </c>
      <c r="S257">
        <v>45.9677419354839</v>
      </c>
      <c r="T257">
        <f t="shared" si="3"/>
        <v>0.45967741935483902</v>
      </c>
      <c r="U257" t="s">
        <v>221</v>
      </c>
      <c r="V257" t="s">
        <v>48</v>
      </c>
    </row>
    <row r="258" spans="1:22" x14ac:dyDescent="0.25">
      <c r="A258">
        <v>257</v>
      </c>
      <c r="B258" t="s">
        <v>217</v>
      </c>
      <c r="C258" s="2">
        <v>43258</v>
      </c>
      <c r="D258" t="s">
        <v>37</v>
      </c>
      <c r="F258" t="s">
        <v>39</v>
      </c>
      <c r="G258">
        <v>6</v>
      </c>
      <c r="H258" t="s">
        <v>226</v>
      </c>
      <c r="I258" t="s">
        <v>227</v>
      </c>
      <c r="J258" t="s">
        <v>42</v>
      </c>
      <c r="K258" t="s">
        <v>228</v>
      </c>
      <c r="L258" t="s">
        <v>225</v>
      </c>
      <c r="M258" t="s">
        <v>45</v>
      </c>
      <c r="N258" t="s">
        <v>46</v>
      </c>
      <c r="O258">
        <v>25</v>
      </c>
      <c r="P258">
        <v>65.909090909090907</v>
      </c>
      <c r="Q258">
        <v>739.5</v>
      </c>
      <c r="R258">
        <v>0</v>
      </c>
      <c r="S258">
        <v>56.7594433399602</v>
      </c>
      <c r="T258">
        <f t="shared" si="3"/>
        <v>0.56759443339960203</v>
      </c>
      <c r="U258" t="s">
        <v>221</v>
      </c>
      <c r="V258" t="s">
        <v>48</v>
      </c>
    </row>
    <row r="259" spans="1:22" x14ac:dyDescent="0.25">
      <c r="A259">
        <v>258</v>
      </c>
      <c r="B259" t="s">
        <v>217</v>
      </c>
      <c r="C259" s="2">
        <v>43258</v>
      </c>
      <c r="D259" t="s">
        <v>37</v>
      </c>
      <c r="F259" t="s">
        <v>39</v>
      </c>
      <c r="G259">
        <v>6</v>
      </c>
      <c r="H259" t="s">
        <v>229</v>
      </c>
      <c r="I259" t="s">
        <v>230</v>
      </c>
      <c r="J259" t="s">
        <v>42</v>
      </c>
      <c r="K259" t="s">
        <v>231</v>
      </c>
      <c r="L259" t="s">
        <v>232</v>
      </c>
      <c r="M259" t="s">
        <v>45</v>
      </c>
      <c r="N259" t="s">
        <v>46</v>
      </c>
      <c r="O259">
        <v>49</v>
      </c>
      <c r="P259">
        <v>55.5555555555556</v>
      </c>
      <c r="Q259">
        <v>482.4</v>
      </c>
      <c r="R259">
        <v>0</v>
      </c>
      <c r="S259">
        <v>62.903225806451601</v>
      </c>
      <c r="T259">
        <f t="shared" ref="T259:T322" si="4">S259/100</f>
        <v>0.62903225806451601</v>
      </c>
      <c r="U259" t="s">
        <v>221</v>
      </c>
      <c r="V259" t="s">
        <v>48</v>
      </c>
    </row>
    <row r="260" spans="1:22" x14ac:dyDescent="0.25">
      <c r="A260">
        <v>259</v>
      </c>
      <c r="B260" t="s">
        <v>217</v>
      </c>
      <c r="C260" s="2">
        <v>43258</v>
      </c>
      <c r="D260" t="s">
        <v>37</v>
      </c>
      <c r="F260" t="s">
        <v>39</v>
      </c>
      <c r="G260">
        <v>6</v>
      </c>
      <c r="H260" t="s">
        <v>233</v>
      </c>
      <c r="I260" t="s">
        <v>234</v>
      </c>
      <c r="J260" t="s">
        <v>42</v>
      </c>
      <c r="K260" t="s">
        <v>235</v>
      </c>
      <c r="L260" t="s">
        <v>232</v>
      </c>
      <c r="M260" t="s">
        <v>45</v>
      </c>
      <c r="N260" t="s">
        <v>46</v>
      </c>
      <c r="O260">
        <v>56</v>
      </c>
      <c r="P260">
        <v>49.350649350649299</v>
      </c>
      <c r="Q260">
        <v>488.3</v>
      </c>
      <c r="R260">
        <v>0</v>
      </c>
      <c r="S260">
        <v>60.482846251588299</v>
      </c>
      <c r="T260">
        <f t="shared" si="4"/>
        <v>0.60482846251588296</v>
      </c>
      <c r="U260" t="s">
        <v>221</v>
      </c>
      <c r="V260" t="s">
        <v>48</v>
      </c>
    </row>
    <row r="261" spans="1:22" x14ac:dyDescent="0.25">
      <c r="A261">
        <v>260</v>
      </c>
      <c r="B261" t="s">
        <v>217</v>
      </c>
      <c r="C261" s="2">
        <v>43258</v>
      </c>
      <c r="D261" t="s">
        <v>37</v>
      </c>
      <c r="F261" t="s">
        <v>39</v>
      </c>
      <c r="G261">
        <v>6</v>
      </c>
      <c r="H261" t="s">
        <v>236</v>
      </c>
      <c r="I261" t="s">
        <v>237</v>
      </c>
      <c r="J261" t="s">
        <v>42</v>
      </c>
      <c r="K261" t="s">
        <v>238</v>
      </c>
      <c r="L261" t="s">
        <v>239</v>
      </c>
      <c r="M261" t="s">
        <v>45</v>
      </c>
      <c r="N261" t="s">
        <v>46</v>
      </c>
      <c r="O261">
        <v>40</v>
      </c>
      <c r="P261">
        <v>62.686567164179102</v>
      </c>
      <c r="Q261">
        <v>611.29999999999995</v>
      </c>
      <c r="R261">
        <v>0</v>
      </c>
      <c r="S261">
        <v>50</v>
      </c>
      <c r="T261">
        <f t="shared" si="4"/>
        <v>0.5</v>
      </c>
      <c r="U261" t="s">
        <v>221</v>
      </c>
      <c r="V261" t="s">
        <v>48</v>
      </c>
    </row>
    <row r="262" spans="1:22" x14ac:dyDescent="0.25">
      <c r="A262">
        <v>261</v>
      </c>
      <c r="B262" t="s">
        <v>217</v>
      </c>
      <c r="C262" s="2">
        <v>43258</v>
      </c>
      <c r="D262" t="s">
        <v>37</v>
      </c>
      <c r="F262" t="s">
        <v>39</v>
      </c>
      <c r="G262">
        <v>6</v>
      </c>
      <c r="H262" t="s">
        <v>240</v>
      </c>
      <c r="I262" t="s">
        <v>241</v>
      </c>
      <c r="J262" t="s">
        <v>42</v>
      </c>
      <c r="K262" t="s">
        <v>242</v>
      </c>
      <c r="L262" t="s">
        <v>111</v>
      </c>
      <c r="M262" t="s">
        <v>45</v>
      </c>
      <c r="N262" t="s">
        <v>46</v>
      </c>
      <c r="O262">
        <v>31</v>
      </c>
      <c r="P262">
        <v>55.421686746988001</v>
      </c>
      <c r="Q262">
        <v>521.70000000000005</v>
      </c>
      <c r="R262">
        <v>1</v>
      </c>
      <c r="S262">
        <v>53.095975232198199</v>
      </c>
      <c r="T262">
        <f t="shared" si="4"/>
        <v>0.530959752321982</v>
      </c>
      <c r="U262" t="s">
        <v>221</v>
      </c>
      <c r="V262" t="s">
        <v>48</v>
      </c>
    </row>
    <row r="263" spans="1:22" x14ac:dyDescent="0.25">
      <c r="A263">
        <v>262</v>
      </c>
      <c r="B263" t="s">
        <v>217</v>
      </c>
      <c r="C263" s="2">
        <v>43258</v>
      </c>
      <c r="D263" t="s">
        <v>37</v>
      </c>
      <c r="F263" t="s">
        <v>39</v>
      </c>
      <c r="G263">
        <v>6</v>
      </c>
      <c r="H263" t="s">
        <v>243</v>
      </c>
      <c r="I263" t="s">
        <v>244</v>
      </c>
      <c r="J263" t="s">
        <v>42</v>
      </c>
      <c r="K263" t="s">
        <v>245</v>
      </c>
      <c r="L263" t="s">
        <v>246</v>
      </c>
      <c r="M263" t="s">
        <v>45</v>
      </c>
      <c r="N263" t="s">
        <v>46</v>
      </c>
      <c r="O263">
        <v>56</v>
      </c>
      <c r="P263">
        <v>76.595744680851098</v>
      </c>
      <c r="Q263">
        <v>711.6</v>
      </c>
      <c r="R263">
        <v>0</v>
      </c>
      <c r="S263">
        <v>46.097201767304902</v>
      </c>
      <c r="T263">
        <f t="shared" si="4"/>
        <v>0.46097201767304902</v>
      </c>
      <c r="U263" t="s">
        <v>221</v>
      </c>
      <c r="V263" t="s">
        <v>48</v>
      </c>
    </row>
    <row r="264" spans="1:22" x14ac:dyDescent="0.25">
      <c r="A264">
        <v>263</v>
      </c>
      <c r="B264" t="s">
        <v>217</v>
      </c>
      <c r="C264" s="2">
        <v>43258</v>
      </c>
      <c r="D264" t="s">
        <v>37</v>
      </c>
      <c r="F264" t="s">
        <v>39</v>
      </c>
      <c r="G264">
        <v>6</v>
      </c>
      <c r="H264" t="s">
        <v>247</v>
      </c>
      <c r="I264" t="s">
        <v>248</v>
      </c>
      <c r="J264" t="s">
        <v>42</v>
      </c>
      <c r="K264" t="s">
        <v>249</v>
      </c>
      <c r="L264" t="s">
        <v>250</v>
      </c>
      <c r="M264" t="s">
        <v>45</v>
      </c>
      <c r="N264" t="s">
        <v>46</v>
      </c>
      <c r="O264">
        <v>11</v>
      </c>
      <c r="P264">
        <v>48.387096774193601</v>
      </c>
      <c r="Q264">
        <v>459.5</v>
      </c>
      <c r="R264">
        <v>0</v>
      </c>
      <c r="S264">
        <v>68.062827225130903</v>
      </c>
      <c r="T264">
        <f t="shared" si="4"/>
        <v>0.68062827225130906</v>
      </c>
      <c r="U264" t="s">
        <v>221</v>
      </c>
      <c r="V264" t="s">
        <v>48</v>
      </c>
    </row>
    <row r="265" spans="1:22" x14ac:dyDescent="0.25">
      <c r="A265">
        <v>264</v>
      </c>
      <c r="B265" t="s">
        <v>217</v>
      </c>
      <c r="C265" s="2">
        <v>43258</v>
      </c>
      <c r="D265" t="s">
        <v>37</v>
      </c>
      <c r="F265" t="s">
        <v>39</v>
      </c>
      <c r="G265">
        <v>5</v>
      </c>
      <c r="H265" t="s">
        <v>251</v>
      </c>
      <c r="I265" t="s">
        <v>252</v>
      </c>
      <c r="J265" t="s">
        <v>42</v>
      </c>
      <c r="K265" t="s">
        <v>253</v>
      </c>
      <c r="L265" t="s">
        <v>59</v>
      </c>
      <c r="M265" t="s">
        <v>45</v>
      </c>
      <c r="N265" t="s">
        <v>46</v>
      </c>
      <c r="O265">
        <v>60</v>
      </c>
      <c r="P265">
        <v>40.268456375838902</v>
      </c>
      <c r="Q265">
        <v>698.8</v>
      </c>
      <c r="R265">
        <v>1</v>
      </c>
      <c r="S265">
        <v>56.2073669849932</v>
      </c>
      <c r="T265">
        <f t="shared" si="4"/>
        <v>0.56207366984993201</v>
      </c>
      <c r="U265" t="s">
        <v>221</v>
      </c>
      <c r="V265" t="s">
        <v>48</v>
      </c>
    </row>
    <row r="266" spans="1:22" x14ac:dyDescent="0.25">
      <c r="A266">
        <v>265</v>
      </c>
      <c r="B266" t="s">
        <v>217</v>
      </c>
      <c r="C266" s="2">
        <v>43258</v>
      </c>
      <c r="D266" t="s">
        <v>37</v>
      </c>
      <c r="F266" t="s">
        <v>39</v>
      </c>
      <c r="G266">
        <v>6</v>
      </c>
      <c r="H266" t="s">
        <v>254</v>
      </c>
      <c r="I266" t="s">
        <v>255</v>
      </c>
      <c r="J266" t="s">
        <v>42</v>
      </c>
      <c r="K266" t="s">
        <v>256</v>
      </c>
      <c r="L266" t="s">
        <v>177</v>
      </c>
      <c r="M266" t="s">
        <v>101</v>
      </c>
      <c r="N266" t="s">
        <v>257</v>
      </c>
      <c r="O266">
        <v>120</v>
      </c>
      <c r="P266">
        <v>30.232558139534898</v>
      </c>
      <c r="Q266">
        <v>611.4</v>
      </c>
      <c r="R266">
        <v>1</v>
      </c>
      <c r="S266">
        <v>54.884453781512597</v>
      </c>
      <c r="T266">
        <f t="shared" si="4"/>
        <v>0.54884453781512599</v>
      </c>
      <c r="U266" t="s">
        <v>221</v>
      </c>
      <c r="V266" t="s">
        <v>48</v>
      </c>
    </row>
    <row r="267" spans="1:22" x14ac:dyDescent="0.25">
      <c r="A267">
        <v>266</v>
      </c>
      <c r="B267" t="s">
        <v>217</v>
      </c>
      <c r="C267" s="2">
        <v>43258</v>
      </c>
      <c r="D267" t="s">
        <v>37</v>
      </c>
      <c r="F267" t="s">
        <v>39</v>
      </c>
      <c r="G267">
        <v>6</v>
      </c>
      <c r="H267" t="s">
        <v>258</v>
      </c>
      <c r="I267" t="s">
        <v>259</v>
      </c>
      <c r="J267" t="s">
        <v>42</v>
      </c>
      <c r="K267" t="s">
        <v>260</v>
      </c>
      <c r="L267" t="s">
        <v>261</v>
      </c>
      <c r="M267" t="s">
        <v>45</v>
      </c>
      <c r="N267" t="s">
        <v>257</v>
      </c>
      <c r="O267">
        <v>50</v>
      </c>
      <c r="P267">
        <v>53.535353535353501</v>
      </c>
      <c r="Q267">
        <v>719.8</v>
      </c>
      <c r="R267">
        <v>0</v>
      </c>
      <c r="S267">
        <v>55.706806282722503</v>
      </c>
      <c r="T267">
        <f t="shared" si="4"/>
        <v>0.55706806282722499</v>
      </c>
      <c r="U267" t="s">
        <v>221</v>
      </c>
      <c r="V267" t="s">
        <v>48</v>
      </c>
    </row>
    <row r="268" spans="1:22" x14ac:dyDescent="0.25">
      <c r="A268">
        <v>267</v>
      </c>
      <c r="B268" t="s">
        <v>217</v>
      </c>
      <c r="C268" s="2">
        <v>43258</v>
      </c>
      <c r="D268" t="s">
        <v>37</v>
      </c>
      <c r="F268" t="s">
        <v>39</v>
      </c>
      <c r="G268">
        <v>6</v>
      </c>
      <c r="H268" t="s">
        <v>262</v>
      </c>
      <c r="I268" t="s">
        <v>263</v>
      </c>
      <c r="J268" t="s">
        <v>42</v>
      </c>
      <c r="K268" t="s">
        <v>264</v>
      </c>
      <c r="L268" t="s">
        <v>111</v>
      </c>
      <c r="M268" t="s">
        <v>101</v>
      </c>
      <c r="N268" t="s">
        <v>257</v>
      </c>
      <c r="O268">
        <v>80</v>
      </c>
      <c r="P268">
        <v>56.923076923076898</v>
      </c>
      <c r="Q268">
        <v>620.6</v>
      </c>
      <c r="R268">
        <v>0</v>
      </c>
      <c r="S268">
        <v>55.092592592592602</v>
      </c>
      <c r="T268">
        <f t="shared" si="4"/>
        <v>0.55092592592592604</v>
      </c>
      <c r="U268" t="s">
        <v>221</v>
      </c>
      <c r="V268" t="s">
        <v>48</v>
      </c>
    </row>
    <row r="269" spans="1:22" x14ac:dyDescent="0.25">
      <c r="A269">
        <v>268</v>
      </c>
      <c r="B269" t="s">
        <v>217</v>
      </c>
      <c r="C269" s="2">
        <v>43258</v>
      </c>
      <c r="D269" t="s">
        <v>37</v>
      </c>
      <c r="F269" t="s">
        <v>39</v>
      </c>
      <c r="G269">
        <v>6</v>
      </c>
      <c r="H269" t="s">
        <v>265</v>
      </c>
      <c r="I269" t="s">
        <v>266</v>
      </c>
      <c r="J269" t="s">
        <v>42</v>
      </c>
      <c r="K269" t="s">
        <v>267</v>
      </c>
      <c r="L269" t="s">
        <v>268</v>
      </c>
      <c r="M269" t="s">
        <v>45</v>
      </c>
      <c r="N269" t="s">
        <v>257</v>
      </c>
      <c r="O269">
        <v>120</v>
      </c>
      <c r="P269">
        <v>40.5660377358491</v>
      </c>
      <c r="Q269">
        <v>342</v>
      </c>
      <c r="R269">
        <v>1</v>
      </c>
      <c r="S269">
        <v>57.485875706214699</v>
      </c>
      <c r="T269">
        <f t="shared" si="4"/>
        <v>0.57485875706214695</v>
      </c>
      <c r="U269" t="s">
        <v>221</v>
      </c>
      <c r="V269" t="s">
        <v>48</v>
      </c>
    </row>
    <row r="270" spans="1:22" x14ac:dyDescent="0.25">
      <c r="A270">
        <v>269</v>
      </c>
      <c r="B270" t="s">
        <v>217</v>
      </c>
      <c r="C270" s="2">
        <v>43258</v>
      </c>
      <c r="D270" t="s">
        <v>37</v>
      </c>
      <c r="F270" t="s">
        <v>39</v>
      </c>
      <c r="G270">
        <v>6</v>
      </c>
      <c r="H270" t="s">
        <v>269</v>
      </c>
      <c r="I270" t="s">
        <v>270</v>
      </c>
      <c r="J270" t="s">
        <v>42</v>
      </c>
      <c r="K270" t="s">
        <v>271</v>
      </c>
      <c r="L270" t="s">
        <v>111</v>
      </c>
      <c r="M270" t="s">
        <v>45</v>
      </c>
      <c r="N270" t="s">
        <v>257</v>
      </c>
      <c r="O270">
        <v>108</v>
      </c>
      <c r="P270">
        <v>28.409090909090899</v>
      </c>
      <c r="Q270">
        <v>510.4</v>
      </c>
      <c r="R270">
        <v>1</v>
      </c>
      <c r="S270">
        <v>67.0141474311243</v>
      </c>
      <c r="T270">
        <f t="shared" si="4"/>
        <v>0.67014147431124305</v>
      </c>
      <c r="U270" t="s">
        <v>221</v>
      </c>
      <c r="V270" t="s">
        <v>48</v>
      </c>
    </row>
    <row r="271" spans="1:22" x14ac:dyDescent="0.25">
      <c r="A271">
        <v>270</v>
      </c>
      <c r="B271" t="s">
        <v>217</v>
      </c>
      <c r="C271" s="2">
        <v>43258</v>
      </c>
      <c r="D271" t="s">
        <v>37</v>
      </c>
      <c r="F271" t="s">
        <v>39</v>
      </c>
      <c r="G271">
        <v>6</v>
      </c>
      <c r="H271" t="s">
        <v>272</v>
      </c>
      <c r="I271" t="s">
        <v>273</v>
      </c>
      <c r="J271" t="s">
        <v>42</v>
      </c>
      <c r="K271" t="s">
        <v>274</v>
      </c>
      <c r="L271" t="s">
        <v>275</v>
      </c>
      <c r="M271" t="s">
        <v>101</v>
      </c>
      <c r="N271" t="s">
        <v>257</v>
      </c>
      <c r="O271">
        <v>120</v>
      </c>
      <c r="P271">
        <v>37.219730941704</v>
      </c>
      <c r="Q271">
        <v>432.3</v>
      </c>
      <c r="R271">
        <v>1</v>
      </c>
      <c r="S271">
        <v>69.004329004328994</v>
      </c>
      <c r="T271">
        <f t="shared" si="4"/>
        <v>0.6900432900432899</v>
      </c>
      <c r="U271" t="s">
        <v>221</v>
      </c>
      <c r="V271" t="s">
        <v>48</v>
      </c>
    </row>
    <row r="272" spans="1:22" x14ac:dyDescent="0.25">
      <c r="A272">
        <v>271</v>
      </c>
      <c r="B272" t="s">
        <v>217</v>
      </c>
      <c r="C272" s="2">
        <v>43258</v>
      </c>
      <c r="D272" t="s">
        <v>37</v>
      </c>
      <c r="F272" t="s">
        <v>39</v>
      </c>
      <c r="G272">
        <v>6</v>
      </c>
      <c r="H272" t="s">
        <v>276</v>
      </c>
      <c r="I272" t="s">
        <v>277</v>
      </c>
      <c r="J272" t="s">
        <v>42</v>
      </c>
      <c r="K272" t="s">
        <v>278</v>
      </c>
      <c r="L272" t="s">
        <v>177</v>
      </c>
      <c r="M272" t="s">
        <v>101</v>
      </c>
      <c r="N272" t="s">
        <v>257</v>
      </c>
      <c r="O272">
        <v>120</v>
      </c>
      <c r="P272">
        <v>56.756756756756801</v>
      </c>
      <c r="Q272">
        <v>740</v>
      </c>
      <c r="R272">
        <v>1</v>
      </c>
      <c r="S272">
        <v>52.551477170993699</v>
      </c>
      <c r="T272">
        <f t="shared" si="4"/>
        <v>0.52551477170993699</v>
      </c>
      <c r="U272" t="s">
        <v>221</v>
      </c>
      <c r="V272" t="s">
        <v>48</v>
      </c>
    </row>
    <row r="273" spans="1:22" x14ac:dyDescent="0.25">
      <c r="A273">
        <v>272</v>
      </c>
      <c r="B273" t="s">
        <v>217</v>
      </c>
      <c r="C273" s="2">
        <v>43258</v>
      </c>
      <c r="D273" t="s">
        <v>37</v>
      </c>
      <c r="F273" t="s">
        <v>39</v>
      </c>
      <c r="G273">
        <v>6</v>
      </c>
      <c r="H273" t="s">
        <v>279</v>
      </c>
      <c r="I273" t="s">
        <v>280</v>
      </c>
      <c r="J273" t="s">
        <v>42</v>
      </c>
      <c r="K273" t="s">
        <v>281</v>
      </c>
      <c r="L273" t="s">
        <v>177</v>
      </c>
      <c r="M273" t="s">
        <v>45</v>
      </c>
      <c r="N273" t="s">
        <v>257</v>
      </c>
      <c r="O273">
        <v>120</v>
      </c>
      <c r="P273">
        <v>50</v>
      </c>
      <c r="Q273">
        <v>593</v>
      </c>
      <c r="R273">
        <v>1</v>
      </c>
      <c r="S273">
        <v>60.124127230411197</v>
      </c>
      <c r="T273">
        <f t="shared" si="4"/>
        <v>0.60124127230411195</v>
      </c>
      <c r="U273" t="s">
        <v>221</v>
      </c>
      <c r="V273" t="s">
        <v>48</v>
      </c>
    </row>
    <row r="274" spans="1:22" x14ac:dyDescent="0.25">
      <c r="A274">
        <v>273</v>
      </c>
      <c r="B274" t="s">
        <v>217</v>
      </c>
      <c r="C274" s="2">
        <v>43258</v>
      </c>
      <c r="D274" t="s">
        <v>37</v>
      </c>
      <c r="F274" t="s">
        <v>39</v>
      </c>
      <c r="G274">
        <v>6</v>
      </c>
      <c r="H274" t="s">
        <v>282</v>
      </c>
      <c r="I274" t="s">
        <v>283</v>
      </c>
      <c r="J274" t="s">
        <v>42</v>
      </c>
      <c r="K274" t="s">
        <v>284</v>
      </c>
      <c r="L274" t="s">
        <v>285</v>
      </c>
      <c r="M274" t="s">
        <v>101</v>
      </c>
      <c r="N274" t="s">
        <v>257</v>
      </c>
      <c r="O274">
        <v>120</v>
      </c>
      <c r="P274">
        <v>39.393939393939398</v>
      </c>
      <c r="Q274">
        <v>463</v>
      </c>
      <c r="R274">
        <v>1</v>
      </c>
      <c r="S274">
        <v>51.0994764397906</v>
      </c>
      <c r="T274">
        <f t="shared" si="4"/>
        <v>0.51099476439790603</v>
      </c>
      <c r="U274" t="s">
        <v>221</v>
      </c>
      <c r="V274" t="s">
        <v>48</v>
      </c>
    </row>
    <row r="275" spans="1:22" x14ac:dyDescent="0.25">
      <c r="A275">
        <v>274</v>
      </c>
      <c r="B275" t="s">
        <v>217</v>
      </c>
      <c r="C275" s="2">
        <v>43258</v>
      </c>
      <c r="D275" t="s">
        <v>37</v>
      </c>
      <c r="F275" t="s">
        <v>39</v>
      </c>
      <c r="G275">
        <v>6</v>
      </c>
      <c r="H275" t="s">
        <v>286</v>
      </c>
      <c r="I275" t="s">
        <v>287</v>
      </c>
      <c r="J275" t="s">
        <v>42</v>
      </c>
      <c r="K275" t="s">
        <v>288</v>
      </c>
      <c r="L275" t="s">
        <v>289</v>
      </c>
      <c r="M275" t="s">
        <v>45</v>
      </c>
      <c r="N275" t="s">
        <v>257</v>
      </c>
      <c r="O275">
        <v>120</v>
      </c>
      <c r="P275">
        <v>33.727810650887598</v>
      </c>
      <c r="Q275">
        <v>517.1</v>
      </c>
      <c r="R275">
        <v>1</v>
      </c>
      <c r="S275">
        <v>54.386951631046102</v>
      </c>
      <c r="T275">
        <f t="shared" si="4"/>
        <v>0.54386951631046099</v>
      </c>
      <c r="U275" t="s">
        <v>221</v>
      </c>
      <c r="V275" t="s">
        <v>48</v>
      </c>
    </row>
    <row r="276" spans="1:22" x14ac:dyDescent="0.25">
      <c r="A276">
        <v>275</v>
      </c>
      <c r="B276" t="s">
        <v>217</v>
      </c>
      <c r="C276" s="2">
        <v>43258</v>
      </c>
      <c r="D276" t="s">
        <v>37</v>
      </c>
      <c r="F276" t="s">
        <v>39</v>
      </c>
      <c r="G276">
        <v>6</v>
      </c>
      <c r="H276" t="s">
        <v>290</v>
      </c>
      <c r="I276" t="s">
        <v>291</v>
      </c>
      <c r="J276" t="s">
        <v>42</v>
      </c>
      <c r="K276" t="s">
        <v>292</v>
      </c>
      <c r="L276" t="s">
        <v>293</v>
      </c>
      <c r="M276" t="s">
        <v>101</v>
      </c>
      <c r="N276" t="s">
        <v>294</v>
      </c>
      <c r="O276">
        <v>120</v>
      </c>
      <c r="P276">
        <v>37.244897959183703</v>
      </c>
      <c r="Q276">
        <v>740.3</v>
      </c>
      <c r="R276">
        <v>1</v>
      </c>
      <c r="S276">
        <v>61.106590724165997</v>
      </c>
      <c r="T276">
        <f t="shared" si="4"/>
        <v>0.61106590724165999</v>
      </c>
      <c r="U276" t="s">
        <v>221</v>
      </c>
      <c r="V276" t="s">
        <v>295</v>
      </c>
    </row>
    <row r="277" spans="1:22" x14ac:dyDescent="0.25">
      <c r="A277">
        <v>276</v>
      </c>
      <c r="B277" t="s">
        <v>217</v>
      </c>
      <c r="C277" s="2">
        <v>43258</v>
      </c>
      <c r="D277" t="s">
        <v>37</v>
      </c>
      <c r="F277" t="s">
        <v>39</v>
      </c>
      <c r="G277">
        <v>6</v>
      </c>
      <c r="H277" t="s">
        <v>296</v>
      </c>
      <c r="I277" t="s">
        <v>297</v>
      </c>
      <c r="J277" t="s">
        <v>42</v>
      </c>
      <c r="K277" t="s">
        <v>298</v>
      </c>
      <c r="L277" t="s">
        <v>293</v>
      </c>
      <c r="M277" t="s">
        <v>101</v>
      </c>
      <c r="N277" t="s">
        <v>294</v>
      </c>
      <c r="O277">
        <v>30</v>
      </c>
      <c r="P277">
        <v>48.75</v>
      </c>
      <c r="Q277">
        <v>604.29999999999995</v>
      </c>
      <c r="R277">
        <v>0</v>
      </c>
      <c r="S277">
        <v>58.150851581508498</v>
      </c>
      <c r="T277">
        <f t="shared" si="4"/>
        <v>0.581508515815085</v>
      </c>
      <c r="U277" t="s">
        <v>221</v>
      </c>
      <c r="V277" t="s">
        <v>295</v>
      </c>
    </row>
    <row r="278" spans="1:22" x14ac:dyDescent="0.25">
      <c r="A278">
        <v>277</v>
      </c>
      <c r="B278" t="s">
        <v>217</v>
      </c>
      <c r="C278" s="2">
        <v>43258</v>
      </c>
      <c r="D278" t="s">
        <v>37</v>
      </c>
      <c r="F278" t="s">
        <v>39</v>
      </c>
      <c r="G278">
        <v>6</v>
      </c>
      <c r="H278" t="s">
        <v>299</v>
      </c>
      <c r="I278" t="s">
        <v>300</v>
      </c>
      <c r="J278" t="s">
        <v>42</v>
      </c>
      <c r="K278" t="s">
        <v>301</v>
      </c>
      <c r="L278" t="s">
        <v>302</v>
      </c>
      <c r="M278" t="s">
        <v>45</v>
      </c>
      <c r="N278" t="s">
        <v>294</v>
      </c>
      <c r="O278">
        <v>120</v>
      </c>
      <c r="P278">
        <v>58.3333333333333</v>
      </c>
      <c r="Q278">
        <v>555.79999999999995</v>
      </c>
      <c r="R278">
        <v>1</v>
      </c>
      <c r="S278">
        <v>78.744277305428398</v>
      </c>
      <c r="T278">
        <f t="shared" si="4"/>
        <v>0.78744277305428401</v>
      </c>
      <c r="U278" t="s">
        <v>221</v>
      </c>
      <c r="V278" t="s">
        <v>295</v>
      </c>
    </row>
    <row r="279" spans="1:22" x14ac:dyDescent="0.25">
      <c r="A279">
        <v>278</v>
      </c>
      <c r="B279" t="s">
        <v>217</v>
      </c>
      <c r="C279" s="2">
        <v>43258</v>
      </c>
      <c r="D279" t="s">
        <v>37</v>
      </c>
      <c r="F279" t="s">
        <v>39</v>
      </c>
      <c r="G279">
        <v>6</v>
      </c>
      <c r="H279" t="s">
        <v>303</v>
      </c>
      <c r="I279" t="s">
        <v>304</v>
      </c>
      <c r="J279" t="s">
        <v>42</v>
      </c>
      <c r="K279" t="s">
        <v>305</v>
      </c>
      <c r="L279" t="s">
        <v>250</v>
      </c>
      <c r="M279" t="s">
        <v>101</v>
      </c>
      <c r="N279" t="s">
        <v>294</v>
      </c>
      <c r="O279">
        <v>120</v>
      </c>
      <c r="P279">
        <v>55.1020408163265</v>
      </c>
      <c r="Q279">
        <v>532.9</v>
      </c>
      <c r="R279">
        <v>1</v>
      </c>
      <c r="S279">
        <v>70.146818923327899</v>
      </c>
      <c r="T279">
        <f t="shared" si="4"/>
        <v>0.70146818923327903</v>
      </c>
      <c r="U279" t="s">
        <v>221</v>
      </c>
      <c r="V279" t="s">
        <v>295</v>
      </c>
    </row>
    <row r="280" spans="1:22" x14ac:dyDescent="0.25">
      <c r="A280">
        <v>279</v>
      </c>
      <c r="B280" t="s">
        <v>217</v>
      </c>
      <c r="C280" s="2">
        <v>43258</v>
      </c>
      <c r="D280" t="s">
        <v>37</v>
      </c>
      <c r="F280" t="s">
        <v>39</v>
      </c>
      <c r="G280">
        <v>6</v>
      </c>
      <c r="H280" t="s">
        <v>306</v>
      </c>
      <c r="I280" t="s">
        <v>307</v>
      </c>
      <c r="J280" t="s">
        <v>42</v>
      </c>
      <c r="K280" t="s">
        <v>308</v>
      </c>
      <c r="L280" t="s">
        <v>250</v>
      </c>
      <c r="M280" t="s">
        <v>101</v>
      </c>
      <c r="N280" t="s">
        <v>294</v>
      </c>
      <c r="O280">
        <v>77</v>
      </c>
      <c r="P280">
        <v>10.7692307692308</v>
      </c>
      <c r="Q280">
        <v>678</v>
      </c>
      <c r="R280">
        <v>0</v>
      </c>
      <c r="S280">
        <v>49.537987679671502</v>
      </c>
      <c r="T280">
        <f t="shared" si="4"/>
        <v>0.49537987679671502</v>
      </c>
      <c r="U280" t="s">
        <v>221</v>
      </c>
      <c r="V280" t="s">
        <v>295</v>
      </c>
    </row>
    <row r="281" spans="1:22" x14ac:dyDescent="0.25">
      <c r="A281">
        <v>280</v>
      </c>
      <c r="B281" t="s">
        <v>217</v>
      </c>
      <c r="C281" s="2">
        <v>43258</v>
      </c>
      <c r="D281" t="s">
        <v>37</v>
      </c>
      <c r="F281" t="s">
        <v>39</v>
      </c>
      <c r="G281">
        <v>6</v>
      </c>
      <c r="H281" t="s">
        <v>309</v>
      </c>
      <c r="I281" t="s">
        <v>310</v>
      </c>
      <c r="J281" t="s">
        <v>42</v>
      </c>
      <c r="K281" t="s">
        <v>311</v>
      </c>
      <c r="L281" t="s">
        <v>250</v>
      </c>
      <c r="M281" t="s">
        <v>101</v>
      </c>
      <c r="N281" t="s">
        <v>294</v>
      </c>
      <c r="O281">
        <v>120</v>
      </c>
      <c r="P281">
        <v>42.857142857142797</v>
      </c>
      <c r="Q281">
        <v>509.8</v>
      </c>
      <c r="R281">
        <v>1</v>
      </c>
      <c r="S281">
        <v>61.283422459893103</v>
      </c>
      <c r="T281">
        <f t="shared" si="4"/>
        <v>0.612834224598931</v>
      </c>
      <c r="U281" t="s">
        <v>221</v>
      </c>
      <c r="V281" t="s">
        <v>295</v>
      </c>
    </row>
    <row r="282" spans="1:22" x14ac:dyDescent="0.25">
      <c r="A282">
        <v>281</v>
      </c>
      <c r="B282" t="s">
        <v>217</v>
      </c>
      <c r="C282" s="2">
        <v>43258</v>
      </c>
      <c r="D282" t="s">
        <v>37</v>
      </c>
      <c r="F282" t="s">
        <v>39</v>
      </c>
      <c r="G282">
        <v>6</v>
      </c>
      <c r="H282" t="s">
        <v>312</v>
      </c>
      <c r="I282" t="s">
        <v>313</v>
      </c>
      <c r="J282" t="s">
        <v>42</v>
      </c>
      <c r="K282" t="s">
        <v>314</v>
      </c>
      <c r="L282" t="s">
        <v>250</v>
      </c>
      <c r="M282" t="s">
        <v>101</v>
      </c>
      <c r="N282" t="s">
        <v>294</v>
      </c>
      <c r="O282">
        <v>47</v>
      </c>
      <c r="P282">
        <v>63.207547169811299</v>
      </c>
      <c r="Q282">
        <v>666.8</v>
      </c>
      <c r="R282">
        <v>0</v>
      </c>
      <c r="S282">
        <v>55.543710021321999</v>
      </c>
      <c r="T282">
        <f t="shared" si="4"/>
        <v>0.55543710021322001</v>
      </c>
      <c r="U282" t="s">
        <v>221</v>
      </c>
      <c r="V282" t="s">
        <v>295</v>
      </c>
    </row>
    <row r="283" spans="1:22" x14ac:dyDescent="0.25">
      <c r="A283">
        <v>282</v>
      </c>
      <c r="B283" t="s">
        <v>217</v>
      </c>
      <c r="C283" s="2">
        <v>43258</v>
      </c>
      <c r="D283" t="s">
        <v>37</v>
      </c>
      <c r="F283" t="s">
        <v>39</v>
      </c>
      <c r="G283">
        <v>6</v>
      </c>
      <c r="H283" t="s">
        <v>315</v>
      </c>
      <c r="I283" t="s">
        <v>316</v>
      </c>
      <c r="J283" t="s">
        <v>42</v>
      </c>
      <c r="K283" t="s">
        <v>317</v>
      </c>
      <c r="L283" t="s">
        <v>185</v>
      </c>
      <c r="M283" t="s">
        <v>101</v>
      </c>
      <c r="N283" t="s">
        <v>294</v>
      </c>
      <c r="O283">
        <v>46</v>
      </c>
      <c r="P283">
        <v>85.950413223140501</v>
      </c>
      <c r="Q283">
        <v>745.5</v>
      </c>
      <c r="R283">
        <v>0</v>
      </c>
      <c r="S283">
        <v>53.718091009988903</v>
      </c>
      <c r="T283">
        <f t="shared" si="4"/>
        <v>0.537180910099889</v>
      </c>
      <c r="U283" t="s">
        <v>221</v>
      </c>
      <c r="V283" t="s">
        <v>295</v>
      </c>
    </row>
    <row r="284" spans="1:22" x14ac:dyDescent="0.25">
      <c r="A284">
        <v>283</v>
      </c>
      <c r="B284" t="s">
        <v>217</v>
      </c>
      <c r="C284" s="2">
        <v>43258</v>
      </c>
      <c r="D284" t="s">
        <v>37</v>
      </c>
      <c r="F284" t="s">
        <v>39</v>
      </c>
      <c r="G284">
        <v>6</v>
      </c>
      <c r="H284" t="s">
        <v>318</v>
      </c>
      <c r="I284" t="s">
        <v>319</v>
      </c>
      <c r="J284" t="s">
        <v>109</v>
      </c>
      <c r="K284" t="s">
        <v>320</v>
      </c>
      <c r="L284" t="s">
        <v>185</v>
      </c>
      <c r="M284" t="s">
        <v>101</v>
      </c>
      <c r="N284" t="s">
        <v>294</v>
      </c>
      <c r="O284">
        <v>120</v>
      </c>
      <c r="P284">
        <v>60.344827586206897</v>
      </c>
      <c r="Q284">
        <v>611.70000000000005</v>
      </c>
      <c r="R284">
        <v>1</v>
      </c>
      <c r="S284">
        <v>51.580698835274497</v>
      </c>
      <c r="T284">
        <f t="shared" si="4"/>
        <v>0.51580698835274497</v>
      </c>
      <c r="U284" t="s">
        <v>221</v>
      </c>
      <c r="V284" t="s">
        <v>295</v>
      </c>
    </row>
    <row r="285" spans="1:22" x14ac:dyDescent="0.25">
      <c r="A285">
        <v>284</v>
      </c>
      <c r="B285" t="s">
        <v>217</v>
      </c>
      <c r="C285" s="2">
        <v>43258</v>
      </c>
      <c r="D285" t="s">
        <v>37</v>
      </c>
      <c r="F285" t="s">
        <v>39</v>
      </c>
      <c r="G285">
        <v>6</v>
      </c>
      <c r="H285" t="s">
        <v>321</v>
      </c>
      <c r="I285" t="s">
        <v>322</v>
      </c>
      <c r="J285" t="s">
        <v>42</v>
      </c>
      <c r="K285" t="s">
        <v>323</v>
      </c>
      <c r="L285" t="s">
        <v>185</v>
      </c>
      <c r="M285" t="s">
        <v>101</v>
      </c>
      <c r="N285" t="s">
        <v>294</v>
      </c>
      <c r="O285">
        <v>120</v>
      </c>
      <c r="P285">
        <v>26.119402985074601</v>
      </c>
      <c r="Q285">
        <v>585.6</v>
      </c>
      <c r="R285">
        <v>1</v>
      </c>
      <c r="S285">
        <v>50.691244239631402</v>
      </c>
      <c r="T285">
        <f t="shared" si="4"/>
        <v>0.50691244239631406</v>
      </c>
      <c r="U285" t="s">
        <v>221</v>
      </c>
      <c r="V285" t="s">
        <v>295</v>
      </c>
    </row>
    <row r="286" spans="1:22" x14ac:dyDescent="0.25">
      <c r="A286">
        <v>285</v>
      </c>
      <c r="B286" t="s">
        <v>217</v>
      </c>
      <c r="C286" s="2">
        <v>43305</v>
      </c>
      <c r="D286" t="s">
        <v>37</v>
      </c>
      <c r="F286" t="s">
        <v>39</v>
      </c>
      <c r="G286">
        <v>7</v>
      </c>
      <c r="H286" t="s">
        <v>218</v>
      </c>
      <c r="I286" t="s">
        <v>219</v>
      </c>
      <c r="J286" t="s">
        <v>42</v>
      </c>
      <c r="K286" t="s">
        <v>220</v>
      </c>
      <c r="L286" t="s">
        <v>44</v>
      </c>
      <c r="M286" t="s">
        <v>45</v>
      </c>
      <c r="N286" t="s">
        <v>46</v>
      </c>
      <c r="O286">
        <v>40</v>
      </c>
      <c r="P286">
        <v>67.796610169491501</v>
      </c>
      <c r="Q286">
        <v>705.8</v>
      </c>
      <c r="R286">
        <v>0</v>
      </c>
      <c r="S286">
        <v>46.336206896551701</v>
      </c>
      <c r="T286">
        <f t="shared" si="4"/>
        <v>0.46336206896551702</v>
      </c>
      <c r="U286" t="s">
        <v>221</v>
      </c>
      <c r="V286" t="s">
        <v>48</v>
      </c>
    </row>
    <row r="287" spans="1:22" x14ac:dyDescent="0.25">
      <c r="A287">
        <v>286</v>
      </c>
      <c r="B287" t="s">
        <v>217</v>
      </c>
      <c r="C287" s="2">
        <v>43305</v>
      </c>
      <c r="D287" t="s">
        <v>37</v>
      </c>
      <c r="F287" t="s">
        <v>39</v>
      </c>
      <c r="G287">
        <v>7</v>
      </c>
      <c r="H287" t="s">
        <v>222</v>
      </c>
      <c r="I287" t="s">
        <v>223</v>
      </c>
      <c r="J287" t="s">
        <v>42</v>
      </c>
      <c r="K287" t="s">
        <v>224</v>
      </c>
      <c r="L287" t="s">
        <v>225</v>
      </c>
      <c r="M287" t="s">
        <v>45</v>
      </c>
      <c r="N287" t="s">
        <v>46</v>
      </c>
      <c r="O287">
        <v>120</v>
      </c>
      <c r="P287">
        <v>52.380952380952401</v>
      </c>
      <c r="Q287">
        <v>622.5</v>
      </c>
      <c r="R287">
        <v>1</v>
      </c>
      <c r="S287">
        <v>38.255033557047</v>
      </c>
      <c r="T287">
        <f t="shared" si="4"/>
        <v>0.38255033557047002</v>
      </c>
      <c r="U287" t="s">
        <v>221</v>
      </c>
      <c r="V287" t="s">
        <v>48</v>
      </c>
    </row>
    <row r="288" spans="1:22" x14ac:dyDescent="0.25">
      <c r="A288">
        <v>287</v>
      </c>
      <c r="B288" t="s">
        <v>217</v>
      </c>
      <c r="C288" s="2">
        <v>43305</v>
      </c>
      <c r="D288" t="s">
        <v>37</v>
      </c>
      <c r="F288" t="s">
        <v>39</v>
      </c>
      <c r="G288">
        <v>7</v>
      </c>
      <c r="H288" t="s">
        <v>226</v>
      </c>
      <c r="I288" t="s">
        <v>227</v>
      </c>
      <c r="J288" t="s">
        <v>42</v>
      </c>
      <c r="K288" t="s">
        <v>228</v>
      </c>
      <c r="L288" t="s">
        <v>225</v>
      </c>
      <c r="M288" t="s">
        <v>45</v>
      </c>
      <c r="N288" t="s">
        <v>46</v>
      </c>
      <c r="O288">
        <v>24</v>
      </c>
      <c r="P288">
        <v>60</v>
      </c>
      <c r="Q288">
        <v>592.9</v>
      </c>
      <c r="R288">
        <v>0</v>
      </c>
      <c r="S288">
        <v>48.501362397820202</v>
      </c>
      <c r="T288">
        <f t="shared" si="4"/>
        <v>0.48501362397820202</v>
      </c>
      <c r="U288" t="s">
        <v>221</v>
      </c>
      <c r="V288" t="s">
        <v>48</v>
      </c>
    </row>
    <row r="289" spans="1:22" x14ac:dyDescent="0.25">
      <c r="A289">
        <v>288</v>
      </c>
      <c r="B289" t="s">
        <v>217</v>
      </c>
      <c r="C289" s="2">
        <v>43305</v>
      </c>
      <c r="D289" t="s">
        <v>37</v>
      </c>
      <c r="F289" t="s">
        <v>39</v>
      </c>
      <c r="G289">
        <v>7</v>
      </c>
      <c r="H289" t="s">
        <v>229</v>
      </c>
      <c r="I289" t="s">
        <v>230</v>
      </c>
      <c r="J289" t="s">
        <v>42</v>
      </c>
      <c r="K289" t="s">
        <v>231</v>
      </c>
      <c r="L289" t="s">
        <v>232</v>
      </c>
      <c r="M289" t="s">
        <v>45</v>
      </c>
      <c r="N289" t="s">
        <v>46</v>
      </c>
      <c r="O289">
        <v>16</v>
      </c>
      <c r="P289">
        <v>43.75</v>
      </c>
      <c r="Q289">
        <v>504.1</v>
      </c>
      <c r="R289">
        <v>0</v>
      </c>
      <c r="S289">
        <v>67.045454545454504</v>
      </c>
      <c r="T289">
        <f t="shared" si="4"/>
        <v>0.67045454545454508</v>
      </c>
      <c r="U289" t="s">
        <v>221</v>
      </c>
      <c r="V289" t="s">
        <v>48</v>
      </c>
    </row>
    <row r="290" spans="1:22" x14ac:dyDescent="0.25">
      <c r="A290">
        <v>289</v>
      </c>
      <c r="B290" t="s">
        <v>217</v>
      </c>
      <c r="C290" s="2">
        <v>43305</v>
      </c>
      <c r="D290" t="s">
        <v>37</v>
      </c>
      <c r="F290" t="s">
        <v>39</v>
      </c>
      <c r="G290">
        <v>7</v>
      </c>
      <c r="H290" t="s">
        <v>233</v>
      </c>
      <c r="I290" t="s">
        <v>234</v>
      </c>
      <c r="J290" t="s">
        <v>42</v>
      </c>
      <c r="K290" t="s">
        <v>235</v>
      </c>
      <c r="L290" t="s">
        <v>232</v>
      </c>
      <c r="M290" t="s">
        <v>45</v>
      </c>
      <c r="N290" t="s">
        <v>46</v>
      </c>
      <c r="O290">
        <v>120</v>
      </c>
      <c r="P290">
        <v>66.037735849056602</v>
      </c>
      <c r="Q290">
        <v>555.20000000000005</v>
      </c>
      <c r="R290">
        <v>1</v>
      </c>
      <c r="S290">
        <v>42.332613390928699</v>
      </c>
      <c r="T290">
        <f t="shared" si="4"/>
        <v>0.42332613390928697</v>
      </c>
      <c r="U290" t="s">
        <v>221</v>
      </c>
      <c r="V290" t="s">
        <v>48</v>
      </c>
    </row>
    <row r="291" spans="1:22" x14ac:dyDescent="0.25">
      <c r="A291">
        <v>290</v>
      </c>
      <c r="B291" t="s">
        <v>217</v>
      </c>
      <c r="C291" s="2">
        <v>43305</v>
      </c>
      <c r="D291" t="s">
        <v>37</v>
      </c>
      <c r="F291" t="s">
        <v>39</v>
      </c>
      <c r="G291">
        <v>7</v>
      </c>
      <c r="H291" t="s">
        <v>236</v>
      </c>
      <c r="I291" t="s">
        <v>237</v>
      </c>
      <c r="J291" t="s">
        <v>42</v>
      </c>
      <c r="K291" t="s">
        <v>238</v>
      </c>
      <c r="L291" t="s">
        <v>239</v>
      </c>
      <c r="M291" t="s">
        <v>45</v>
      </c>
      <c r="N291" t="s">
        <v>46</v>
      </c>
      <c r="O291">
        <v>63</v>
      </c>
      <c r="P291">
        <v>58.024691358024697</v>
      </c>
      <c r="Q291">
        <v>551.20000000000005</v>
      </c>
      <c r="R291">
        <v>1</v>
      </c>
      <c r="S291">
        <v>43.760683760683698</v>
      </c>
      <c r="T291">
        <f t="shared" si="4"/>
        <v>0.437606837606837</v>
      </c>
      <c r="U291" t="s">
        <v>221</v>
      </c>
      <c r="V291" t="s">
        <v>48</v>
      </c>
    </row>
    <row r="292" spans="1:22" x14ac:dyDescent="0.25">
      <c r="A292">
        <v>291</v>
      </c>
      <c r="B292" t="s">
        <v>217</v>
      </c>
      <c r="C292" s="2">
        <v>43305</v>
      </c>
      <c r="D292" t="s">
        <v>37</v>
      </c>
      <c r="F292" t="s">
        <v>39</v>
      </c>
      <c r="G292">
        <v>7</v>
      </c>
      <c r="H292" t="s">
        <v>240</v>
      </c>
      <c r="I292" t="s">
        <v>241</v>
      </c>
      <c r="J292" t="s">
        <v>42</v>
      </c>
      <c r="K292" t="s">
        <v>242</v>
      </c>
      <c r="L292" t="s">
        <v>111</v>
      </c>
      <c r="M292" t="s">
        <v>45</v>
      </c>
      <c r="N292" t="s">
        <v>46</v>
      </c>
      <c r="O292">
        <v>47</v>
      </c>
      <c r="P292">
        <v>58.823529411764703</v>
      </c>
      <c r="Q292">
        <v>571.6</v>
      </c>
      <c r="R292">
        <v>0</v>
      </c>
      <c r="S292">
        <v>51.575931232091698</v>
      </c>
      <c r="T292">
        <f t="shared" si="4"/>
        <v>0.51575931232091698</v>
      </c>
      <c r="U292" t="s">
        <v>221</v>
      </c>
      <c r="V292" t="s">
        <v>48</v>
      </c>
    </row>
    <row r="293" spans="1:22" x14ac:dyDescent="0.25">
      <c r="A293">
        <v>292</v>
      </c>
      <c r="B293" t="s">
        <v>217</v>
      </c>
      <c r="C293" s="2">
        <v>43305</v>
      </c>
      <c r="D293" t="s">
        <v>37</v>
      </c>
      <c r="F293" t="s">
        <v>39</v>
      </c>
      <c r="G293">
        <v>7</v>
      </c>
      <c r="H293" t="s">
        <v>243</v>
      </c>
      <c r="I293" t="s">
        <v>244</v>
      </c>
      <c r="J293" t="s">
        <v>42</v>
      </c>
      <c r="K293" t="s">
        <v>245</v>
      </c>
      <c r="L293" t="s">
        <v>246</v>
      </c>
      <c r="M293" t="s">
        <v>45</v>
      </c>
      <c r="N293" t="s">
        <v>46</v>
      </c>
      <c r="O293">
        <v>96</v>
      </c>
      <c r="P293">
        <v>66.371681415929203</v>
      </c>
      <c r="Q293">
        <v>801</v>
      </c>
      <c r="R293">
        <v>0</v>
      </c>
      <c r="S293">
        <v>35.603715170278598</v>
      </c>
      <c r="T293">
        <f t="shared" si="4"/>
        <v>0.35603715170278599</v>
      </c>
      <c r="U293" t="s">
        <v>221</v>
      </c>
      <c r="V293" t="s">
        <v>48</v>
      </c>
    </row>
    <row r="294" spans="1:22" x14ac:dyDescent="0.25">
      <c r="A294">
        <v>293</v>
      </c>
      <c r="B294" t="s">
        <v>217</v>
      </c>
      <c r="C294" s="2">
        <v>43305</v>
      </c>
      <c r="D294" t="s">
        <v>37</v>
      </c>
      <c r="F294" t="s">
        <v>39</v>
      </c>
      <c r="G294">
        <v>7</v>
      </c>
      <c r="H294" t="s">
        <v>247</v>
      </c>
      <c r="I294" t="s">
        <v>248</v>
      </c>
      <c r="J294" t="s">
        <v>42</v>
      </c>
      <c r="K294" t="s">
        <v>249</v>
      </c>
      <c r="L294" t="s">
        <v>250</v>
      </c>
      <c r="M294" t="s">
        <v>45</v>
      </c>
      <c r="N294" t="s">
        <v>46</v>
      </c>
      <c r="O294">
        <v>36</v>
      </c>
      <c r="P294">
        <v>35.5555555555556</v>
      </c>
      <c r="Q294">
        <v>446</v>
      </c>
      <c r="R294">
        <v>0</v>
      </c>
      <c r="S294">
        <v>46.859903381642503</v>
      </c>
      <c r="T294">
        <f t="shared" si="4"/>
        <v>0.46859903381642504</v>
      </c>
      <c r="U294" t="s">
        <v>221</v>
      </c>
      <c r="V294" t="s">
        <v>48</v>
      </c>
    </row>
    <row r="295" spans="1:22" x14ac:dyDescent="0.25">
      <c r="A295">
        <v>294</v>
      </c>
      <c r="B295" t="s">
        <v>217</v>
      </c>
      <c r="C295" s="2">
        <v>43305</v>
      </c>
      <c r="D295" t="s">
        <v>37</v>
      </c>
      <c r="F295" t="s">
        <v>39</v>
      </c>
      <c r="G295">
        <v>6</v>
      </c>
      <c r="H295" t="s">
        <v>251</v>
      </c>
      <c r="I295" t="s">
        <v>252</v>
      </c>
      <c r="J295" t="s">
        <v>42</v>
      </c>
      <c r="K295" t="s">
        <v>253</v>
      </c>
      <c r="L295" t="s">
        <v>59</v>
      </c>
      <c r="M295" t="s">
        <v>45</v>
      </c>
      <c r="N295" t="s">
        <v>46</v>
      </c>
      <c r="O295">
        <v>120</v>
      </c>
      <c r="P295">
        <v>54.1666666666667</v>
      </c>
      <c r="Q295">
        <v>622</v>
      </c>
      <c r="R295">
        <v>1</v>
      </c>
      <c r="S295">
        <v>63.675213675213698</v>
      </c>
      <c r="T295">
        <f t="shared" si="4"/>
        <v>0.63675213675213693</v>
      </c>
      <c r="U295" t="s">
        <v>221</v>
      </c>
      <c r="V295" t="s">
        <v>48</v>
      </c>
    </row>
    <row r="296" spans="1:22" x14ac:dyDescent="0.25">
      <c r="A296">
        <v>295</v>
      </c>
      <c r="B296" t="s">
        <v>217</v>
      </c>
      <c r="C296" s="2">
        <v>43305</v>
      </c>
      <c r="D296" t="s">
        <v>37</v>
      </c>
      <c r="F296" t="s">
        <v>39</v>
      </c>
      <c r="G296">
        <v>7</v>
      </c>
      <c r="H296" t="s">
        <v>254</v>
      </c>
      <c r="I296" t="s">
        <v>255</v>
      </c>
      <c r="J296" t="s">
        <v>42</v>
      </c>
      <c r="K296" t="s">
        <v>256</v>
      </c>
      <c r="L296" t="s">
        <v>177</v>
      </c>
      <c r="M296" t="s">
        <v>101</v>
      </c>
      <c r="N296" t="s">
        <v>257</v>
      </c>
      <c r="O296">
        <v>120</v>
      </c>
      <c r="P296">
        <v>11.2</v>
      </c>
      <c r="Q296">
        <v>424.7</v>
      </c>
      <c r="R296">
        <v>1</v>
      </c>
      <c r="S296">
        <v>50.485436893203897</v>
      </c>
      <c r="T296">
        <f t="shared" si="4"/>
        <v>0.50485436893203894</v>
      </c>
      <c r="U296" t="s">
        <v>221</v>
      </c>
      <c r="V296" t="s">
        <v>48</v>
      </c>
    </row>
    <row r="297" spans="1:22" x14ac:dyDescent="0.25">
      <c r="A297">
        <v>296</v>
      </c>
      <c r="B297" t="s">
        <v>217</v>
      </c>
      <c r="C297" s="2">
        <v>43305</v>
      </c>
      <c r="D297" t="s">
        <v>37</v>
      </c>
      <c r="F297" t="s">
        <v>39</v>
      </c>
      <c r="G297">
        <v>7</v>
      </c>
      <c r="H297" t="s">
        <v>258</v>
      </c>
      <c r="I297" t="s">
        <v>259</v>
      </c>
      <c r="J297" t="s">
        <v>42</v>
      </c>
      <c r="K297" t="s">
        <v>260</v>
      </c>
      <c r="L297" t="s">
        <v>261</v>
      </c>
      <c r="M297" t="s">
        <v>45</v>
      </c>
      <c r="N297" t="s">
        <v>257</v>
      </c>
      <c r="O297">
        <v>120</v>
      </c>
      <c r="P297">
        <v>25</v>
      </c>
      <c r="Q297">
        <v>557.9</v>
      </c>
      <c r="R297">
        <v>1</v>
      </c>
      <c r="S297">
        <v>53.954496208017297</v>
      </c>
      <c r="T297">
        <f t="shared" si="4"/>
        <v>0.539544962080173</v>
      </c>
      <c r="U297" t="s">
        <v>221</v>
      </c>
      <c r="V297" t="s">
        <v>48</v>
      </c>
    </row>
    <row r="298" spans="1:22" x14ac:dyDescent="0.25">
      <c r="A298">
        <v>297</v>
      </c>
      <c r="B298" t="s">
        <v>217</v>
      </c>
      <c r="C298" s="2">
        <v>43305</v>
      </c>
      <c r="D298" t="s">
        <v>37</v>
      </c>
      <c r="F298" t="s">
        <v>39</v>
      </c>
      <c r="G298">
        <v>7</v>
      </c>
      <c r="H298" t="s">
        <v>262</v>
      </c>
      <c r="I298" t="s">
        <v>263</v>
      </c>
      <c r="J298" t="s">
        <v>42</v>
      </c>
      <c r="K298" t="s">
        <v>264</v>
      </c>
      <c r="L298" t="s">
        <v>111</v>
      </c>
      <c r="M298" t="s">
        <v>101</v>
      </c>
      <c r="N298" t="s">
        <v>257</v>
      </c>
      <c r="O298">
        <v>120</v>
      </c>
      <c r="P298">
        <v>56.451612903225801</v>
      </c>
      <c r="Q298">
        <v>654.4</v>
      </c>
      <c r="R298">
        <v>1</v>
      </c>
      <c r="S298">
        <v>50.172413793103502</v>
      </c>
      <c r="T298">
        <f t="shared" si="4"/>
        <v>0.50172413793103499</v>
      </c>
      <c r="U298" t="s">
        <v>221</v>
      </c>
      <c r="V298" t="s">
        <v>48</v>
      </c>
    </row>
    <row r="299" spans="1:22" x14ac:dyDescent="0.25">
      <c r="A299">
        <v>298</v>
      </c>
      <c r="B299" t="s">
        <v>217</v>
      </c>
      <c r="C299" s="2">
        <v>43305</v>
      </c>
      <c r="D299" t="s">
        <v>37</v>
      </c>
      <c r="F299" t="s">
        <v>39</v>
      </c>
      <c r="G299">
        <v>7</v>
      </c>
      <c r="H299" t="s">
        <v>265</v>
      </c>
      <c r="I299" t="s">
        <v>266</v>
      </c>
      <c r="J299" t="s">
        <v>42</v>
      </c>
      <c r="K299" t="s">
        <v>267</v>
      </c>
      <c r="L299" t="s">
        <v>268</v>
      </c>
      <c r="M299" t="s">
        <v>45</v>
      </c>
      <c r="N299" t="s">
        <v>257</v>
      </c>
      <c r="O299">
        <v>120</v>
      </c>
      <c r="P299">
        <v>14.1566265060241</v>
      </c>
      <c r="Q299">
        <v>377.5</v>
      </c>
      <c r="R299">
        <v>1</v>
      </c>
      <c r="S299">
        <v>52.123552123552102</v>
      </c>
      <c r="T299">
        <f t="shared" si="4"/>
        <v>0.52123552123552097</v>
      </c>
      <c r="U299" t="s">
        <v>221</v>
      </c>
      <c r="V299" t="s">
        <v>48</v>
      </c>
    </row>
    <row r="300" spans="1:22" x14ac:dyDescent="0.25">
      <c r="A300">
        <v>299</v>
      </c>
      <c r="B300" t="s">
        <v>217</v>
      </c>
      <c r="C300" s="2">
        <v>43305</v>
      </c>
      <c r="D300" t="s">
        <v>37</v>
      </c>
      <c r="F300" t="s">
        <v>39</v>
      </c>
      <c r="G300">
        <v>7</v>
      </c>
      <c r="H300" t="s">
        <v>269</v>
      </c>
      <c r="I300" t="s">
        <v>270</v>
      </c>
      <c r="J300" t="s">
        <v>42</v>
      </c>
      <c r="K300" t="s">
        <v>271</v>
      </c>
      <c r="L300" t="s">
        <v>111</v>
      </c>
      <c r="M300" t="s">
        <v>45</v>
      </c>
      <c r="N300" t="s">
        <v>257</v>
      </c>
      <c r="O300">
        <v>120</v>
      </c>
      <c r="P300">
        <v>15.492957746478901</v>
      </c>
      <c r="Q300">
        <v>409</v>
      </c>
      <c r="R300">
        <v>1</v>
      </c>
      <c r="S300">
        <v>78.029445073612706</v>
      </c>
      <c r="T300">
        <f t="shared" si="4"/>
        <v>0.78029445073612702</v>
      </c>
      <c r="U300" t="s">
        <v>221</v>
      </c>
      <c r="V300" t="s">
        <v>48</v>
      </c>
    </row>
    <row r="301" spans="1:22" x14ac:dyDescent="0.25">
      <c r="A301">
        <v>300</v>
      </c>
      <c r="B301" t="s">
        <v>217</v>
      </c>
      <c r="C301" s="2">
        <v>43305</v>
      </c>
      <c r="D301" t="s">
        <v>37</v>
      </c>
      <c r="F301" t="s">
        <v>39</v>
      </c>
      <c r="G301">
        <v>7</v>
      </c>
      <c r="H301" t="s">
        <v>272</v>
      </c>
      <c r="I301" t="s">
        <v>273</v>
      </c>
      <c r="J301" t="s">
        <v>42</v>
      </c>
      <c r="K301" t="s">
        <v>274</v>
      </c>
      <c r="L301" t="s">
        <v>275</v>
      </c>
      <c r="M301" t="s">
        <v>101</v>
      </c>
      <c r="N301" t="s">
        <v>257</v>
      </c>
      <c r="O301">
        <v>120</v>
      </c>
      <c r="P301">
        <v>14.792899408284001</v>
      </c>
      <c r="Q301">
        <v>582.9</v>
      </c>
      <c r="R301">
        <v>1</v>
      </c>
      <c r="S301">
        <v>66.209476309226901</v>
      </c>
      <c r="T301">
        <f t="shared" si="4"/>
        <v>0.662094763092269</v>
      </c>
      <c r="U301" t="s">
        <v>221</v>
      </c>
      <c r="V301" t="s">
        <v>48</v>
      </c>
    </row>
    <row r="302" spans="1:22" x14ac:dyDescent="0.25">
      <c r="A302">
        <v>301</v>
      </c>
      <c r="B302" t="s">
        <v>217</v>
      </c>
      <c r="C302" s="2">
        <v>43305</v>
      </c>
      <c r="D302" t="s">
        <v>37</v>
      </c>
      <c r="F302" t="s">
        <v>39</v>
      </c>
      <c r="G302">
        <v>7</v>
      </c>
      <c r="H302" t="s">
        <v>276</v>
      </c>
      <c r="I302" t="s">
        <v>277</v>
      </c>
      <c r="J302" t="s">
        <v>42</v>
      </c>
      <c r="K302" t="s">
        <v>278</v>
      </c>
      <c r="L302" t="s">
        <v>177</v>
      </c>
      <c r="M302" t="s">
        <v>101</v>
      </c>
      <c r="N302" t="s">
        <v>257</v>
      </c>
      <c r="O302">
        <v>120</v>
      </c>
      <c r="P302">
        <v>42.460317460317498</v>
      </c>
      <c r="Q302">
        <v>717.8</v>
      </c>
      <c r="R302">
        <v>1</v>
      </c>
      <c r="S302">
        <v>48.016101207590602</v>
      </c>
      <c r="T302">
        <f t="shared" si="4"/>
        <v>0.480161012075906</v>
      </c>
      <c r="U302" t="s">
        <v>221</v>
      </c>
      <c r="V302" t="s">
        <v>48</v>
      </c>
    </row>
    <row r="303" spans="1:22" x14ac:dyDescent="0.25">
      <c r="A303">
        <v>302</v>
      </c>
      <c r="B303" t="s">
        <v>217</v>
      </c>
      <c r="C303" s="2">
        <v>43305</v>
      </c>
      <c r="D303" t="s">
        <v>37</v>
      </c>
      <c r="F303" t="s">
        <v>39</v>
      </c>
      <c r="G303">
        <v>7</v>
      </c>
      <c r="H303" t="s">
        <v>279</v>
      </c>
      <c r="I303" t="s">
        <v>280</v>
      </c>
      <c r="J303" t="s">
        <v>42</v>
      </c>
      <c r="K303" t="s">
        <v>281</v>
      </c>
      <c r="L303" t="s">
        <v>177</v>
      </c>
      <c r="M303" t="s">
        <v>45</v>
      </c>
      <c r="N303" t="s">
        <v>257</v>
      </c>
      <c r="O303">
        <v>120</v>
      </c>
      <c r="P303">
        <v>28.9156626506024</v>
      </c>
      <c r="Q303">
        <v>360.7</v>
      </c>
      <c r="R303">
        <v>1</v>
      </c>
      <c r="S303">
        <v>58.791946308724803</v>
      </c>
      <c r="T303">
        <f t="shared" si="4"/>
        <v>0.58791946308724807</v>
      </c>
      <c r="U303" t="s">
        <v>221</v>
      </c>
      <c r="V303" t="s">
        <v>48</v>
      </c>
    </row>
    <row r="304" spans="1:22" x14ac:dyDescent="0.25">
      <c r="A304">
        <v>303</v>
      </c>
      <c r="B304" t="s">
        <v>217</v>
      </c>
      <c r="C304" s="2">
        <v>43305</v>
      </c>
      <c r="D304" t="s">
        <v>37</v>
      </c>
      <c r="F304" t="s">
        <v>39</v>
      </c>
      <c r="G304">
        <v>7</v>
      </c>
      <c r="H304" t="s">
        <v>282</v>
      </c>
      <c r="I304" t="s">
        <v>283</v>
      </c>
      <c r="J304" t="s">
        <v>42</v>
      </c>
      <c r="K304" t="s">
        <v>284</v>
      </c>
      <c r="L304" t="s">
        <v>285</v>
      </c>
      <c r="M304" t="s">
        <v>101</v>
      </c>
      <c r="N304" t="s">
        <v>257</v>
      </c>
      <c r="O304">
        <v>120</v>
      </c>
      <c r="P304">
        <v>16.1111111111111</v>
      </c>
      <c r="Q304">
        <v>437.5</v>
      </c>
      <c r="R304">
        <v>1</v>
      </c>
      <c r="S304">
        <v>46.2235649546828</v>
      </c>
      <c r="T304">
        <f t="shared" si="4"/>
        <v>0.462235649546828</v>
      </c>
      <c r="U304" t="s">
        <v>221</v>
      </c>
      <c r="V304" t="s">
        <v>48</v>
      </c>
    </row>
    <row r="305" spans="1:22" x14ac:dyDescent="0.25">
      <c r="A305">
        <v>304</v>
      </c>
      <c r="B305" t="s">
        <v>217</v>
      </c>
      <c r="C305" s="2">
        <v>43305</v>
      </c>
      <c r="D305" t="s">
        <v>37</v>
      </c>
      <c r="F305" t="s">
        <v>39</v>
      </c>
      <c r="G305">
        <v>7</v>
      </c>
      <c r="H305" t="s">
        <v>286</v>
      </c>
      <c r="I305" t="s">
        <v>287</v>
      </c>
      <c r="J305" t="s">
        <v>42</v>
      </c>
      <c r="K305" t="s">
        <v>288</v>
      </c>
      <c r="L305" t="s">
        <v>289</v>
      </c>
      <c r="M305" t="s">
        <v>45</v>
      </c>
      <c r="N305" t="s">
        <v>257</v>
      </c>
      <c r="O305">
        <v>120</v>
      </c>
      <c r="P305">
        <v>39.024390243902403</v>
      </c>
      <c r="Q305">
        <v>424.1</v>
      </c>
      <c r="R305">
        <v>1</v>
      </c>
      <c r="S305">
        <v>54.255319148936202</v>
      </c>
      <c r="T305">
        <f t="shared" si="4"/>
        <v>0.54255319148936199</v>
      </c>
      <c r="U305" t="s">
        <v>221</v>
      </c>
      <c r="V305" t="s">
        <v>48</v>
      </c>
    </row>
    <row r="306" spans="1:22" x14ac:dyDescent="0.25">
      <c r="A306">
        <v>305</v>
      </c>
      <c r="B306" t="s">
        <v>217</v>
      </c>
      <c r="C306" s="2">
        <v>43305</v>
      </c>
      <c r="D306" t="s">
        <v>37</v>
      </c>
      <c r="F306" t="s">
        <v>39</v>
      </c>
      <c r="G306">
        <v>7</v>
      </c>
      <c r="H306" t="s">
        <v>290</v>
      </c>
      <c r="I306" t="s">
        <v>291</v>
      </c>
      <c r="J306" t="s">
        <v>42</v>
      </c>
      <c r="K306" t="s">
        <v>292</v>
      </c>
      <c r="L306" t="s">
        <v>293</v>
      </c>
      <c r="M306" t="s">
        <v>101</v>
      </c>
      <c r="N306" t="s">
        <v>294</v>
      </c>
      <c r="O306">
        <v>120</v>
      </c>
      <c r="P306">
        <v>56.149732620320897</v>
      </c>
      <c r="Q306">
        <v>541.1</v>
      </c>
      <c r="R306">
        <v>1</v>
      </c>
      <c r="S306">
        <v>60.062111801242203</v>
      </c>
      <c r="T306">
        <f t="shared" si="4"/>
        <v>0.60062111801242202</v>
      </c>
      <c r="U306" t="s">
        <v>221</v>
      </c>
      <c r="V306" t="s">
        <v>295</v>
      </c>
    </row>
    <row r="307" spans="1:22" x14ac:dyDescent="0.25">
      <c r="A307">
        <v>306</v>
      </c>
      <c r="B307" t="s">
        <v>217</v>
      </c>
      <c r="C307" s="2">
        <v>43305</v>
      </c>
      <c r="D307" t="s">
        <v>37</v>
      </c>
      <c r="F307" t="s">
        <v>39</v>
      </c>
      <c r="G307">
        <v>7</v>
      </c>
      <c r="H307" t="s">
        <v>296</v>
      </c>
      <c r="I307" t="s">
        <v>297</v>
      </c>
      <c r="J307" t="s">
        <v>42</v>
      </c>
      <c r="K307" t="s">
        <v>298</v>
      </c>
      <c r="L307" t="s">
        <v>293</v>
      </c>
      <c r="M307" t="s">
        <v>101</v>
      </c>
      <c r="N307" t="s">
        <v>294</v>
      </c>
      <c r="O307">
        <v>33</v>
      </c>
      <c r="P307">
        <v>60.576923076923102</v>
      </c>
      <c r="Q307">
        <v>730.6</v>
      </c>
      <c r="R307">
        <v>0</v>
      </c>
      <c r="S307">
        <v>56.860242501595401</v>
      </c>
      <c r="T307">
        <f t="shared" si="4"/>
        <v>0.56860242501595404</v>
      </c>
      <c r="U307" t="s">
        <v>221</v>
      </c>
      <c r="V307" t="s">
        <v>295</v>
      </c>
    </row>
    <row r="308" spans="1:22" x14ac:dyDescent="0.25">
      <c r="A308">
        <v>307</v>
      </c>
      <c r="B308" t="s">
        <v>217</v>
      </c>
      <c r="C308" s="2">
        <v>43305</v>
      </c>
      <c r="D308" t="s">
        <v>37</v>
      </c>
      <c r="F308" t="s">
        <v>39</v>
      </c>
      <c r="G308">
        <v>7</v>
      </c>
      <c r="H308" t="s">
        <v>299</v>
      </c>
      <c r="I308" t="s">
        <v>300</v>
      </c>
      <c r="J308" t="s">
        <v>42</v>
      </c>
      <c r="K308" t="s">
        <v>301</v>
      </c>
      <c r="L308" t="s">
        <v>302</v>
      </c>
      <c r="M308" t="s">
        <v>45</v>
      </c>
      <c r="N308" t="s">
        <v>294</v>
      </c>
      <c r="O308">
        <v>39</v>
      </c>
      <c r="P308">
        <v>47.091412742382303</v>
      </c>
      <c r="Q308">
        <v>650.20000000000005</v>
      </c>
      <c r="R308">
        <v>1</v>
      </c>
      <c r="S308">
        <v>74.102564102564102</v>
      </c>
      <c r="T308">
        <f t="shared" si="4"/>
        <v>0.74102564102564106</v>
      </c>
      <c r="U308" t="s">
        <v>221</v>
      </c>
      <c r="V308" t="s">
        <v>295</v>
      </c>
    </row>
    <row r="309" spans="1:22" x14ac:dyDescent="0.25">
      <c r="A309">
        <v>308</v>
      </c>
      <c r="B309" t="s">
        <v>217</v>
      </c>
      <c r="C309" s="2">
        <v>43305</v>
      </c>
      <c r="D309" t="s">
        <v>37</v>
      </c>
      <c r="F309" t="s">
        <v>39</v>
      </c>
      <c r="G309">
        <v>7</v>
      </c>
      <c r="H309" t="s">
        <v>303</v>
      </c>
      <c r="I309" t="s">
        <v>304</v>
      </c>
      <c r="J309" t="s">
        <v>42</v>
      </c>
      <c r="K309" t="s">
        <v>305</v>
      </c>
      <c r="L309" t="s">
        <v>250</v>
      </c>
      <c r="M309" t="s">
        <v>101</v>
      </c>
      <c r="N309" t="s">
        <v>294</v>
      </c>
      <c r="O309">
        <v>78</v>
      </c>
      <c r="P309">
        <v>45.982142857142797</v>
      </c>
      <c r="Q309">
        <v>679.7</v>
      </c>
      <c r="R309">
        <v>0</v>
      </c>
      <c r="S309">
        <v>55.754651964162598</v>
      </c>
      <c r="T309">
        <f t="shared" si="4"/>
        <v>0.55754651964162594</v>
      </c>
      <c r="U309" t="s">
        <v>221</v>
      </c>
      <c r="V309" t="s">
        <v>295</v>
      </c>
    </row>
    <row r="310" spans="1:22" x14ac:dyDescent="0.25">
      <c r="A310">
        <v>309</v>
      </c>
      <c r="B310" t="s">
        <v>217</v>
      </c>
      <c r="C310" s="2">
        <v>43305</v>
      </c>
      <c r="D310" t="s">
        <v>37</v>
      </c>
      <c r="F310" t="s">
        <v>39</v>
      </c>
      <c r="G310">
        <v>7</v>
      </c>
      <c r="H310" t="s">
        <v>306</v>
      </c>
      <c r="I310" t="s">
        <v>307</v>
      </c>
      <c r="J310" t="s">
        <v>42</v>
      </c>
      <c r="K310" t="s">
        <v>308</v>
      </c>
      <c r="L310" t="s">
        <v>250</v>
      </c>
      <c r="M310" t="s">
        <v>101</v>
      </c>
      <c r="N310" t="s">
        <v>294</v>
      </c>
      <c r="O310">
        <v>120</v>
      </c>
      <c r="P310">
        <v>69</v>
      </c>
      <c r="Q310">
        <v>782.2</v>
      </c>
      <c r="R310">
        <v>1</v>
      </c>
      <c r="S310">
        <v>45.4887218045113</v>
      </c>
      <c r="T310">
        <f t="shared" si="4"/>
        <v>0.45488721804511301</v>
      </c>
      <c r="U310" t="s">
        <v>221</v>
      </c>
      <c r="V310" t="s">
        <v>295</v>
      </c>
    </row>
    <row r="311" spans="1:22" x14ac:dyDescent="0.25">
      <c r="A311">
        <v>310</v>
      </c>
      <c r="B311" t="s">
        <v>217</v>
      </c>
      <c r="C311" s="2">
        <v>43305</v>
      </c>
      <c r="D311" t="s">
        <v>37</v>
      </c>
      <c r="F311" t="s">
        <v>39</v>
      </c>
      <c r="G311">
        <v>7</v>
      </c>
      <c r="H311" t="s">
        <v>309</v>
      </c>
      <c r="I311" t="s">
        <v>310</v>
      </c>
      <c r="J311" t="s">
        <v>42</v>
      </c>
      <c r="K311" t="s">
        <v>311</v>
      </c>
      <c r="L311" t="s">
        <v>250</v>
      </c>
      <c r="M311" t="s">
        <v>101</v>
      </c>
      <c r="N311" t="s">
        <v>294</v>
      </c>
      <c r="O311">
        <v>120</v>
      </c>
      <c r="P311">
        <v>28.571428571428601</v>
      </c>
      <c r="Q311">
        <v>450.2</v>
      </c>
      <c r="R311">
        <v>1</v>
      </c>
      <c r="S311">
        <v>66.704161979752499</v>
      </c>
      <c r="T311">
        <f t="shared" si="4"/>
        <v>0.66704161979752497</v>
      </c>
      <c r="U311" t="s">
        <v>221</v>
      </c>
      <c r="V311" t="s">
        <v>295</v>
      </c>
    </row>
    <row r="312" spans="1:22" x14ac:dyDescent="0.25">
      <c r="A312">
        <v>311</v>
      </c>
      <c r="B312" t="s">
        <v>217</v>
      </c>
      <c r="C312" s="2">
        <v>43305</v>
      </c>
      <c r="D312" t="s">
        <v>37</v>
      </c>
      <c r="F312" t="s">
        <v>39</v>
      </c>
      <c r="G312">
        <v>7</v>
      </c>
      <c r="H312" t="s">
        <v>312</v>
      </c>
      <c r="I312" t="s">
        <v>313</v>
      </c>
      <c r="J312" t="s">
        <v>42</v>
      </c>
      <c r="K312" t="s">
        <v>314</v>
      </c>
      <c r="L312" t="s">
        <v>250</v>
      </c>
      <c r="M312" t="s">
        <v>101</v>
      </c>
      <c r="N312" t="s">
        <v>294</v>
      </c>
      <c r="O312">
        <v>36</v>
      </c>
      <c r="P312">
        <v>47.142857142857103</v>
      </c>
      <c r="Q312">
        <v>688.7</v>
      </c>
      <c r="R312">
        <v>0</v>
      </c>
      <c r="S312">
        <v>50</v>
      </c>
      <c r="T312">
        <f t="shared" si="4"/>
        <v>0.5</v>
      </c>
      <c r="U312" t="s">
        <v>221</v>
      </c>
      <c r="V312" t="s">
        <v>295</v>
      </c>
    </row>
    <row r="313" spans="1:22" x14ac:dyDescent="0.25">
      <c r="A313">
        <v>312</v>
      </c>
      <c r="B313" t="s">
        <v>217</v>
      </c>
      <c r="C313" s="2">
        <v>43305</v>
      </c>
      <c r="D313" t="s">
        <v>37</v>
      </c>
      <c r="F313" t="s">
        <v>39</v>
      </c>
      <c r="G313">
        <v>7</v>
      </c>
      <c r="H313" t="s">
        <v>315</v>
      </c>
      <c r="I313" t="s">
        <v>316</v>
      </c>
      <c r="J313" t="s">
        <v>42</v>
      </c>
      <c r="K313" t="s">
        <v>317</v>
      </c>
      <c r="L313" t="s">
        <v>185</v>
      </c>
      <c r="M313" t="s">
        <v>101</v>
      </c>
      <c r="N313" t="s">
        <v>294</v>
      </c>
      <c r="O313">
        <v>102</v>
      </c>
      <c r="P313">
        <v>66.051660516605196</v>
      </c>
      <c r="Q313">
        <v>683.2</v>
      </c>
      <c r="R313">
        <v>0</v>
      </c>
      <c r="S313">
        <v>52.570694087403602</v>
      </c>
      <c r="T313">
        <f t="shared" si="4"/>
        <v>0.52570694087403602</v>
      </c>
      <c r="U313" t="s">
        <v>221</v>
      </c>
      <c r="V313" t="s">
        <v>295</v>
      </c>
    </row>
    <row r="314" spans="1:22" x14ac:dyDescent="0.25">
      <c r="A314">
        <v>313</v>
      </c>
      <c r="B314" t="s">
        <v>217</v>
      </c>
      <c r="C314" s="2">
        <v>43305</v>
      </c>
      <c r="D314" t="s">
        <v>37</v>
      </c>
      <c r="F314" t="s">
        <v>39</v>
      </c>
      <c r="G314">
        <v>7</v>
      </c>
      <c r="H314" t="s">
        <v>318</v>
      </c>
      <c r="I314" t="s">
        <v>319</v>
      </c>
      <c r="J314" t="s">
        <v>109</v>
      </c>
      <c r="K314" t="s">
        <v>320</v>
      </c>
      <c r="L314" t="s">
        <v>185</v>
      </c>
      <c r="M314" t="s">
        <v>101</v>
      </c>
      <c r="N314" t="s">
        <v>294</v>
      </c>
      <c r="O314">
        <v>120</v>
      </c>
      <c r="P314">
        <v>45.893719806763301</v>
      </c>
      <c r="Q314">
        <v>730.2</v>
      </c>
      <c r="R314">
        <v>1</v>
      </c>
      <c r="S314">
        <v>44.9294828744124</v>
      </c>
      <c r="T314">
        <f t="shared" si="4"/>
        <v>0.44929482874412402</v>
      </c>
      <c r="U314" t="s">
        <v>221</v>
      </c>
      <c r="V314" t="s">
        <v>295</v>
      </c>
    </row>
    <row r="315" spans="1:22" x14ac:dyDescent="0.25">
      <c r="A315">
        <v>314</v>
      </c>
      <c r="B315" t="s">
        <v>217</v>
      </c>
      <c r="C315" s="2">
        <v>43305</v>
      </c>
      <c r="D315" t="s">
        <v>37</v>
      </c>
      <c r="F315" t="s">
        <v>39</v>
      </c>
      <c r="G315">
        <v>7</v>
      </c>
      <c r="H315" t="s">
        <v>321</v>
      </c>
      <c r="I315" t="s">
        <v>322</v>
      </c>
      <c r="J315" t="s">
        <v>42</v>
      </c>
      <c r="K315" t="s">
        <v>323</v>
      </c>
      <c r="L315" t="s">
        <v>185</v>
      </c>
      <c r="M315" t="s">
        <v>101</v>
      </c>
      <c r="N315" t="s">
        <v>294</v>
      </c>
      <c r="O315">
        <v>89</v>
      </c>
      <c r="P315">
        <v>33.3333333333333</v>
      </c>
      <c r="Q315">
        <v>545.70000000000005</v>
      </c>
      <c r="R315">
        <v>1</v>
      </c>
      <c r="S315">
        <v>49.924812030075202</v>
      </c>
      <c r="T315">
        <f t="shared" si="4"/>
        <v>0.499248120300752</v>
      </c>
      <c r="U315" t="s">
        <v>221</v>
      </c>
      <c r="V315" t="s">
        <v>295</v>
      </c>
    </row>
    <row r="316" spans="1:22" x14ac:dyDescent="0.25">
      <c r="A316">
        <v>315</v>
      </c>
      <c r="B316" t="s">
        <v>217</v>
      </c>
      <c r="C316" s="2">
        <v>43321</v>
      </c>
      <c r="D316" t="s">
        <v>37</v>
      </c>
      <c r="F316" t="s">
        <v>39</v>
      </c>
      <c r="G316">
        <v>8</v>
      </c>
      <c r="H316" t="s">
        <v>218</v>
      </c>
      <c r="I316" t="s">
        <v>219</v>
      </c>
      <c r="J316" t="s">
        <v>42</v>
      </c>
      <c r="K316" t="s">
        <v>220</v>
      </c>
      <c r="L316" t="s">
        <v>44</v>
      </c>
      <c r="M316" t="s">
        <v>45</v>
      </c>
      <c r="N316" t="s">
        <v>46</v>
      </c>
      <c r="O316">
        <v>26</v>
      </c>
      <c r="P316">
        <v>70.370370370370395</v>
      </c>
      <c r="Q316">
        <v>649.4</v>
      </c>
      <c r="R316">
        <v>0</v>
      </c>
      <c r="S316">
        <v>55.632183908046002</v>
      </c>
      <c r="T316">
        <f t="shared" si="4"/>
        <v>0.55632183908046007</v>
      </c>
      <c r="U316" t="s">
        <v>221</v>
      </c>
      <c r="V316" t="s">
        <v>48</v>
      </c>
    </row>
    <row r="317" spans="1:22" x14ac:dyDescent="0.25">
      <c r="A317">
        <v>316</v>
      </c>
      <c r="B317" t="s">
        <v>217</v>
      </c>
      <c r="C317" s="2">
        <v>43321</v>
      </c>
      <c r="D317" t="s">
        <v>37</v>
      </c>
      <c r="F317" t="s">
        <v>39</v>
      </c>
      <c r="G317">
        <v>8</v>
      </c>
      <c r="H317" t="s">
        <v>222</v>
      </c>
      <c r="I317" t="s">
        <v>223</v>
      </c>
      <c r="J317" t="s">
        <v>42</v>
      </c>
      <c r="K317" t="s">
        <v>224</v>
      </c>
      <c r="L317" t="s">
        <v>225</v>
      </c>
      <c r="M317" t="s">
        <v>45</v>
      </c>
      <c r="N317" t="s">
        <v>46</v>
      </c>
      <c r="O317">
        <v>120</v>
      </c>
      <c r="P317">
        <v>30.769230769230798</v>
      </c>
      <c r="Q317">
        <v>600.1</v>
      </c>
      <c r="R317">
        <v>0</v>
      </c>
      <c r="S317">
        <v>45.9752321981424</v>
      </c>
      <c r="T317">
        <f t="shared" si="4"/>
        <v>0.45975232198142402</v>
      </c>
      <c r="U317" t="s">
        <v>221</v>
      </c>
      <c r="V317" t="s">
        <v>48</v>
      </c>
    </row>
    <row r="318" spans="1:22" x14ac:dyDescent="0.25">
      <c r="A318">
        <v>317</v>
      </c>
      <c r="B318" t="s">
        <v>217</v>
      </c>
      <c r="C318" s="2">
        <v>43321</v>
      </c>
      <c r="D318" t="s">
        <v>37</v>
      </c>
      <c r="F318" t="s">
        <v>39</v>
      </c>
      <c r="G318">
        <v>8</v>
      </c>
      <c r="H318" t="s">
        <v>226</v>
      </c>
      <c r="I318" t="s">
        <v>227</v>
      </c>
      <c r="J318" t="s">
        <v>42</v>
      </c>
      <c r="K318" t="s">
        <v>228</v>
      </c>
      <c r="L318" t="s">
        <v>225</v>
      </c>
      <c r="M318" t="s">
        <v>45</v>
      </c>
      <c r="N318" t="s">
        <v>46</v>
      </c>
      <c r="O318">
        <v>6</v>
      </c>
      <c r="P318">
        <v>52.7777777777778</v>
      </c>
      <c r="Q318">
        <v>647.29999999999995</v>
      </c>
      <c r="R318">
        <v>0</v>
      </c>
      <c r="S318">
        <v>54.285714285714299</v>
      </c>
      <c r="T318">
        <f t="shared" si="4"/>
        <v>0.54285714285714304</v>
      </c>
      <c r="U318" t="s">
        <v>221</v>
      </c>
      <c r="V318" t="s">
        <v>48</v>
      </c>
    </row>
    <row r="319" spans="1:22" x14ac:dyDescent="0.25">
      <c r="A319">
        <v>318</v>
      </c>
      <c r="B319" t="s">
        <v>217</v>
      </c>
      <c r="C319" s="2">
        <v>43321</v>
      </c>
      <c r="D319" t="s">
        <v>37</v>
      </c>
      <c r="F319" t="s">
        <v>39</v>
      </c>
      <c r="G319">
        <v>8</v>
      </c>
      <c r="H319" t="s">
        <v>229</v>
      </c>
      <c r="I319" t="s">
        <v>230</v>
      </c>
      <c r="J319" t="s">
        <v>42</v>
      </c>
      <c r="K319" t="s">
        <v>231</v>
      </c>
      <c r="L319" t="s">
        <v>232</v>
      </c>
      <c r="M319" t="s">
        <v>45</v>
      </c>
      <c r="N319" t="s">
        <v>46</v>
      </c>
      <c r="O319">
        <v>63</v>
      </c>
      <c r="P319">
        <v>36</v>
      </c>
      <c r="Q319">
        <v>458.5</v>
      </c>
      <c r="R319">
        <v>0</v>
      </c>
      <c r="S319">
        <v>54.296875</v>
      </c>
      <c r="T319">
        <f t="shared" si="4"/>
        <v>0.54296875</v>
      </c>
      <c r="U319" t="s">
        <v>221</v>
      </c>
      <c r="V319" t="s">
        <v>48</v>
      </c>
    </row>
    <row r="320" spans="1:22" x14ac:dyDescent="0.25">
      <c r="A320">
        <v>319</v>
      </c>
      <c r="B320" t="s">
        <v>217</v>
      </c>
      <c r="C320" s="2">
        <v>43321</v>
      </c>
      <c r="D320" t="s">
        <v>37</v>
      </c>
      <c r="F320" t="s">
        <v>39</v>
      </c>
      <c r="G320">
        <v>8</v>
      </c>
      <c r="H320" t="s">
        <v>233</v>
      </c>
      <c r="I320" t="s">
        <v>234</v>
      </c>
      <c r="J320" t="s">
        <v>42</v>
      </c>
      <c r="K320" t="s">
        <v>235</v>
      </c>
      <c r="L320" t="s">
        <v>232</v>
      </c>
      <c r="M320" t="s">
        <v>45</v>
      </c>
      <c r="N320" t="s">
        <v>46</v>
      </c>
      <c r="O320">
        <v>68</v>
      </c>
      <c r="P320">
        <v>45.238095238095198</v>
      </c>
      <c r="Q320">
        <v>612</v>
      </c>
      <c r="R320">
        <v>0</v>
      </c>
      <c r="S320">
        <v>49.159120310478698</v>
      </c>
      <c r="T320">
        <f t="shared" si="4"/>
        <v>0.49159120310478699</v>
      </c>
      <c r="U320" t="s">
        <v>221</v>
      </c>
      <c r="V320" t="s">
        <v>48</v>
      </c>
    </row>
    <row r="321" spans="1:22" x14ac:dyDescent="0.25">
      <c r="A321">
        <v>320</v>
      </c>
      <c r="B321" t="s">
        <v>217</v>
      </c>
      <c r="C321" s="2">
        <v>43321</v>
      </c>
      <c r="D321" t="s">
        <v>37</v>
      </c>
      <c r="F321" t="s">
        <v>39</v>
      </c>
      <c r="G321">
        <v>8</v>
      </c>
      <c r="H321" t="s">
        <v>236</v>
      </c>
      <c r="I321" t="s">
        <v>237</v>
      </c>
      <c r="J321" t="s">
        <v>42</v>
      </c>
      <c r="K321" t="s">
        <v>238</v>
      </c>
      <c r="L321" t="s">
        <v>239</v>
      </c>
      <c r="M321" t="s">
        <v>45</v>
      </c>
      <c r="N321" t="s">
        <v>46</v>
      </c>
      <c r="O321">
        <v>84</v>
      </c>
      <c r="P321">
        <v>37.096774193548399</v>
      </c>
      <c r="Q321">
        <v>573.79999999999995</v>
      </c>
      <c r="R321">
        <v>0</v>
      </c>
      <c r="S321">
        <v>51.391465677180001</v>
      </c>
      <c r="T321">
        <f t="shared" si="4"/>
        <v>0.51391465677180004</v>
      </c>
      <c r="U321" t="s">
        <v>221</v>
      </c>
      <c r="V321" t="s">
        <v>48</v>
      </c>
    </row>
    <row r="322" spans="1:22" x14ac:dyDescent="0.25">
      <c r="A322">
        <v>321</v>
      </c>
      <c r="B322" t="s">
        <v>217</v>
      </c>
      <c r="C322" s="2">
        <v>43321</v>
      </c>
      <c r="D322" t="s">
        <v>37</v>
      </c>
      <c r="F322" t="s">
        <v>39</v>
      </c>
      <c r="G322">
        <v>8</v>
      </c>
      <c r="H322" t="s">
        <v>240</v>
      </c>
      <c r="I322" t="s">
        <v>241</v>
      </c>
      <c r="J322" t="s">
        <v>42</v>
      </c>
      <c r="K322" t="s">
        <v>242</v>
      </c>
      <c r="L322" t="s">
        <v>111</v>
      </c>
      <c r="M322" t="s">
        <v>45</v>
      </c>
      <c r="N322" t="s">
        <v>46</v>
      </c>
      <c r="O322">
        <v>31</v>
      </c>
      <c r="P322">
        <v>69.273743016759795</v>
      </c>
      <c r="Q322">
        <v>714</v>
      </c>
      <c r="R322">
        <v>0</v>
      </c>
      <c r="S322">
        <v>51.302460202604898</v>
      </c>
      <c r="T322">
        <f t="shared" si="4"/>
        <v>0.51302460202604894</v>
      </c>
      <c r="U322" t="s">
        <v>221</v>
      </c>
      <c r="V322" t="s">
        <v>48</v>
      </c>
    </row>
    <row r="323" spans="1:22" x14ac:dyDescent="0.25">
      <c r="A323">
        <v>322</v>
      </c>
      <c r="B323" t="s">
        <v>217</v>
      </c>
      <c r="C323" s="2">
        <v>43321</v>
      </c>
      <c r="D323" t="s">
        <v>37</v>
      </c>
      <c r="F323" t="s">
        <v>39</v>
      </c>
      <c r="G323">
        <v>8</v>
      </c>
      <c r="H323" t="s">
        <v>243</v>
      </c>
      <c r="I323" t="s">
        <v>244</v>
      </c>
      <c r="J323" t="s">
        <v>42</v>
      </c>
      <c r="K323" t="s">
        <v>245</v>
      </c>
      <c r="L323" t="s">
        <v>246</v>
      </c>
      <c r="M323" t="s">
        <v>45</v>
      </c>
      <c r="N323" t="s">
        <v>46</v>
      </c>
      <c r="O323">
        <v>63</v>
      </c>
      <c r="P323">
        <v>65.517241379310306</v>
      </c>
      <c r="Q323">
        <v>719.8</v>
      </c>
      <c r="R323">
        <v>0</v>
      </c>
      <c r="S323">
        <v>48.3193277310924</v>
      </c>
      <c r="T323">
        <f t="shared" ref="T323:T386" si="5">S323/100</f>
        <v>0.48319327731092399</v>
      </c>
      <c r="U323" t="s">
        <v>221</v>
      </c>
      <c r="V323" t="s">
        <v>48</v>
      </c>
    </row>
    <row r="324" spans="1:22" x14ac:dyDescent="0.25">
      <c r="A324">
        <v>323</v>
      </c>
      <c r="B324" t="s">
        <v>217</v>
      </c>
      <c r="C324" s="2">
        <v>43321</v>
      </c>
      <c r="D324" t="s">
        <v>37</v>
      </c>
      <c r="F324" t="s">
        <v>39</v>
      </c>
      <c r="G324">
        <v>8</v>
      </c>
      <c r="H324" t="s">
        <v>247</v>
      </c>
      <c r="I324" t="s">
        <v>248</v>
      </c>
      <c r="J324" t="s">
        <v>42</v>
      </c>
      <c r="K324" t="s">
        <v>249</v>
      </c>
      <c r="L324" t="s">
        <v>250</v>
      </c>
      <c r="M324" t="s">
        <v>45</v>
      </c>
      <c r="N324" t="s">
        <v>46</v>
      </c>
      <c r="O324">
        <v>59</v>
      </c>
      <c r="P324">
        <v>50</v>
      </c>
      <c r="Q324">
        <v>492.3</v>
      </c>
      <c r="R324">
        <v>1</v>
      </c>
      <c r="S324">
        <v>55.357142857142897</v>
      </c>
      <c r="T324">
        <f t="shared" si="5"/>
        <v>0.55357142857142894</v>
      </c>
      <c r="U324" t="s">
        <v>221</v>
      </c>
      <c r="V324" t="s">
        <v>48</v>
      </c>
    </row>
    <row r="325" spans="1:22" x14ac:dyDescent="0.25">
      <c r="A325">
        <v>324</v>
      </c>
      <c r="B325" t="s">
        <v>217</v>
      </c>
      <c r="C325" s="2">
        <v>43321</v>
      </c>
      <c r="D325" t="s">
        <v>37</v>
      </c>
      <c r="F325" t="s">
        <v>39</v>
      </c>
      <c r="G325">
        <v>7</v>
      </c>
      <c r="H325" t="s">
        <v>251</v>
      </c>
      <c r="I325" t="s">
        <v>252</v>
      </c>
      <c r="J325" t="s">
        <v>42</v>
      </c>
      <c r="K325" t="s">
        <v>253</v>
      </c>
      <c r="L325" t="s">
        <v>59</v>
      </c>
      <c r="M325" t="s">
        <v>45</v>
      </c>
      <c r="N325" t="s">
        <v>46</v>
      </c>
      <c r="O325">
        <v>82</v>
      </c>
      <c r="P325">
        <v>32.121212121212103</v>
      </c>
      <c r="Q325">
        <v>710</v>
      </c>
      <c r="R325">
        <v>1</v>
      </c>
      <c r="S325">
        <v>56.801319043693297</v>
      </c>
      <c r="T325">
        <f t="shared" si="5"/>
        <v>0.56801319043693299</v>
      </c>
      <c r="U325" t="s">
        <v>221</v>
      </c>
      <c r="V325" t="s">
        <v>48</v>
      </c>
    </row>
    <row r="326" spans="1:22" x14ac:dyDescent="0.25">
      <c r="A326">
        <v>325</v>
      </c>
      <c r="B326" t="s">
        <v>217</v>
      </c>
      <c r="C326" s="2">
        <v>43321</v>
      </c>
      <c r="D326" t="s">
        <v>37</v>
      </c>
      <c r="F326" t="s">
        <v>39</v>
      </c>
      <c r="G326">
        <v>8</v>
      </c>
      <c r="H326" t="s">
        <v>254</v>
      </c>
      <c r="I326" t="s">
        <v>255</v>
      </c>
      <c r="J326" t="s">
        <v>42</v>
      </c>
      <c r="K326" t="s">
        <v>256</v>
      </c>
      <c r="L326" t="s">
        <v>177</v>
      </c>
      <c r="M326" t="s">
        <v>101</v>
      </c>
      <c r="N326" t="s">
        <v>257</v>
      </c>
      <c r="O326">
        <v>120</v>
      </c>
      <c r="P326">
        <v>41.353383458646597</v>
      </c>
      <c r="Q326">
        <v>702.7</v>
      </c>
      <c r="R326">
        <v>1</v>
      </c>
      <c r="S326">
        <v>60.072267389340603</v>
      </c>
      <c r="T326">
        <f t="shared" si="5"/>
        <v>0.60072267389340606</v>
      </c>
      <c r="U326" t="s">
        <v>221</v>
      </c>
      <c r="V326" t="s">
        <v>48</v>
      </c>
    </row>
    <row r="327" spans="1:22" x14ac:dyDescent="0.25">
      <c r="A327">
        <v>326</v>
      </c>
      <c r="B327" t="s">
        <v>217</v>
      </c>
      <c r="C327" s="2">
        <v>43321</v>
      </c>
      <c r="D327" t="s">
        <v>37</v>
      </c>
      <c r="F327" t="s">
        <v>39</v>
      </c>
      <c r="G327">
        <v>8</v>
      </c>
      <c r="H327" t="s">
        <v>258</v>
      </c>
      <c r="I327" t="s">
        <v>259</v>
      </c>
      <c r="J327" t="s">
        <v>42</v>
      </c>
      <c r="K327" t="s">
        <v>260</v>
      </c>
      <c r="L327" t="s">
        <v>261</v>
      </c>
      <c r="M327" t="s">
        <v>45</v>
      </c>
      <c r="N327" t="s">
        <v>257</v>
      </c>
      <c r="O327">
        <v>95</v>
      </c>
      <c r="P327">
        <v>55.244755244755197</v>
      </c>
      <c r="Q327">
        <v>801</v>
      </c>
      <c r="R327">
        <v>1</v>
      </c>
      <c r="S327">
        <v>54.855923159018097</v>
      </c>
      <c r="T327">
        <f t="shared" si="5"/>
        <v>0.54855923159018094</v>
      </c>
      <c r="U327" t="s">
        <v>221</v>
      </c>
      <c r="V327" t="s">
        <v>48</v>
      </c>
    </row>
    <row r="328" spans="1:22" x14ac:dyDescent="0.25">
      <c r="A328">
        <v>327</v>
      </c>
      <c r="B328" t="s">
        <v>217</v>
      </c>
      <c r="C328" s="2">
        <v>43321</v>
      </c>
      <c r="D328" t="s">
        <v>37</v>
      </c>
      <c r="F328" t="s">
        <v>39</v>
      </c>
      <c r="G328">
        <v>8</v>
      </c>
      <c r="H328" t="s">
        <v>262</v>
      </c>
      <c r="I328" t="s">
        <v>263</v>
      </c>
      <c r="J328" t="s">
        <v>42</v>
      </c>
      <c r="K328" t="s">
        <v>264</v>
      </c>
      <c r="L328" t="s">
        <v>111</v>
      </c>
      <c r="M328" t="s">
        <v>101</v>
      </c>
      <c r="N328" t="s">
        <v>257</v>
      </c>
      <c r="O328">
        <v>74</v>
      </c>
      <c r="P328">
        <v>58.510638297872298</v>
      </c>
      <c r="Q328">
        <v>716.6</v>
      </c>
      <c r="R328">
        <v>0</v>
      </c>
      <c r="S328">
        <v>51.798561151079099</v>
      </c>
      <c r="T328">
        <f t="shared" si="5"/>
        <v>0.51798561151079103</v>
      </c>
      <c r="U328" t="s">
        <v>221</v>
      </c>
      <c r="V328" t="s">
        <v>48</v>
      </c>
    </row>
    <row r="329" spans="1:22" x14ac:dyDescent="0.25">
      <c r="A329">
        <v>328</v>
      </c>
      <c r="B329" t="s">
        <v>217</v>
      </c>
      <c r="C329" s="2">
        <v>43321</v>
      </c>
      <c r="D329" t="s">
        <v>37</v>
      </c>
      <c r="F329" t="s">
        <v>39</v>
      </c>
      <c r="G329">
        <v>8</v>
      </c>
      <c r="H329" t="s">
        <v>265</v>
      </c>
      <c r="I329" t="s">
        <v>266</v>
      </c>
      <c r="J329" t="s">
        <v>42</v>
      </c>
      <c r="K329" t="s">
        <v>267</v>
      </c>
      <c r="L329" t="s">
        <v>268</v>
      </c>
      <c r="M329" t="s">
        <v>45</v>
      </c>
      <c r="N329" t="s">
        <v>257</v>
      </c>
      <c r="O329">
        <v>94</v>
      </c>
      <c r="P329">
        <v>17.1428571428571</v>
      </c>
      <c r="Q329">
        <v>502.2</v>
      </c>
      <c r="R329">
        <v>1</v>
      </c>
      <c r="S329">
        <v>53.5894843276036</v>
      </c>
      <c r="T329">
        <f t="shared" si="5"/>
        <v>0.53589484327603598</v>
      </c>
      <c r="U329" t="s">
        <v>221</v>
      </c>
      <c r="V329" t="s">
        <v>48</v>
      </c>
    </row>
    <row r="330" spans="1:22" x14ac:dyDescent="0.25">
      <c r="A330">
        <v>329</v>
      </c>
      <c r="B330" t="s">
        <v>217</v>
      </c>
      <c r="C330" s="2">
        <v>43321</v>
      </c>
      <c r="D330" t="s">
        <v>37</v>
      </c>
      <c r="F330" t="s">
        <v>39</v>
      </c>
      <c r="G330">
        <v>8</v>
      </c>
      <c r="H330" t="s">
        <v>269</v>
      </c>
      <c r="I330" t="s">
        <v>270</v>
      </c>
      <c r="J330" t="s">
        <v>42</v>
      </c>
      <c r="K330" t="s">
        <v>271</v>
      </c>
      <c r="L330" t="s">
        <v>111</v>
      </c>
      <c r="M330" t="s">
        <v>45</v>
      </c>
      <c r="N330" t="s">
        <v>257</v>
      </c>
      <c r="O330">
        <v>83</v>
      </c>
      <c r="P330">
        <v>25.675675675675699</v>
      </c>
      <c r="Q330">
        <v>420.1</v>
      </c>
      <c r="R330">
        <v>1</v>
      </c>
      <c r="S330">
        <v>78.112449799196796</v>
      </c>
      <c r="T330">
        <f t="shared" si="5"/>
        <v>0.78112449799196793</v>
      </c>
      <c r="U330" t="s">
        <v>221</v>
      </c>
      <c r="V330" t="s">
        <v>48</v>
      </c>
    </row>
    <row r="331" spans="1:22" x14ac:dyDescent="0.25">
      <c r="A331">
        <v>330</v>
      </c>
      <c r="B331" t="s">
        <v>217</v>
      </c>
      <c r="C331" s="2">
        <v>43321</v>
      </c>
      <c r="D331" t="s">
        <v>37</v>
      </c>
      <c r="F331" t="s">
        <v>39</v>
      </c>
      <c r="G331">
        <v>8</v>
      </c>
      <c r="H331" t="s">
        <v>272</v>
      </c>
      <c r="I331" t="s">
        <v>273</v>
      </c>
      <c r="J331" t="s">
        <v>42</v>
      </c>
      <c r="K331" t="s">
        <v>274</v>
      </c>
      <c r="L331" t="s">
        <v>275</v>
      </c>
      <c r="M331" t="s">
        <v>101</v>
      </c>
      <c r="N331" t="s">
        <v>257</v>
      </c>
      <c r="O331">
        <v>120</v>
      </c>
      <c r="P331">
        <v>35.398230088495602</v>
      </c>
      <c r="Q331">
        <v>716.4</v>
      </c>
      <c r="R331">
        <v>1</v>
      </c>
      <c r="S331">
        <v>64.756039791568</v>
      </c>
      <c r="T331">
        <f t="shared" si="5"/>
        <v>0.64756039791567999</v>
      </c>
      <c r="U331" t="s">
        <v>221</v>
      </c>
      <c r="V331" t="s">
        <v>48</v>
      </c>
    </row>
    <row r="332" spans="1:22" x14ac:dyDescent="0.25">
      <c r="A332">
        <v>331</v>
      </c>
      <c r="B332" t="s">
        <v>217</v>
      </c>
      <c r="C332" s="2">
        <v>43321</v>
      </c>
      <c r="D332" t="s">
        <v>37</v>
      </c>
      <c r="F332" t="s">
        <v>39</v>
      </c>
      <c r="G332">
        <v>8</v>
      </c>
      <c r="H332" t="s">
        <v>276</v>
      </c>
      <c r="I332" t="s">
        <v>277</v>
      </c>
      <c r="J332" t="s">
        <v>42</v>
      </c>
      <c r="K332" t="s">
        <v>278</v>
      </c>
      <c r="L332" t="s">
        <v>177</v>
      </c>
      <c r="M332" t="s">
        <v>101</v>
      </c>
      <c r="N332" t="s">
        <v>257</v>
      </c>
      <c r="O332">
        <v>120</v>
      </c>
      <c r="P332">
        <v>68.103448275862107</v>
      </c>
      <c r="Q332">
        <v>768.4</v>
      </c>
      <c r="R332">
        <v>1</v>
      </c>
      <c r="S332">
        <v>48.967971530249102</v>
      </c>
      <c r="T332">
        <f t="shared" si="5"/>
        <v>0.48967971530249099</v>
      </c>
      <c r="U332" t="s">
        <v>221</v>
      </c>
      <c r="V332" t="s">
        <v>48</v>
      </c>
    </row>
    <row r="333" spans="1:22" x14ac:dyDescent="0.25">
      <c r="A333">
        <v>332</v>
      </c>
      <c r="B333" t="s">
        <v>217</v>
      </c>
      <c r="C333" s="2">
        <v>43321</v>
      </c>
      <c r="D333" t="s">
        <v>37</v>
      </c>
      <c r="F333" t="s">
        <v>39</v>
      </c>
      <c r="G333">
        <v>8</v>
      </c>
      <c r="H333" t="s">
        <v>279</v>
      </c>
      <c r="I333" t="s">
        <v>280</v>
      </c>
      <c r="J333" t="s">
        <v>42</v>
      </c>
      <c r="K333" t="s">
        <v>281</v>
      </c>
      <c r="L333" t="s">
        <v>177</v>
      </c>
      <c r="M333" t="s">
        <v>45</v>
      </c>
      <c r="N333" t="s">
        <v>257</v>
      </c>
      <c r="O333">
        <v>120</v>
      </c>
      <c r="P333">
        <v>32.7102803738318</v>
      </c>
      <c r="Q333">
        <v>521.5</v>
      </c>
      <c r="R333">
        <v>1</v>
      </c>
      <c r="S333">
        <v>61.773255813953497</v>
      </c>
      <c r="T333">
        <f t="shared" si="5"/>
        <v>0.61773255813953498</v>
      </c>
      <c r="U333" t="s">
        <v>221</v>
      </c>
      <c r="V333" t="s">
        <v>48</v>
      </c>
    </row>
    <row r="334" spans="1:22" x14ac:dyDescent="0.25">
      <c r="A334">
        <v>333</v>
      </c>
      <c r="B334" t="s">
        <v>217</v>
      </c>
      <c r="C334" s="2">
        <v>43321</v>
      </c>
      <c r="D334" t="s">
        <v>37</v>
      </c>
      <c r="F334" t="s">
        <v>39</v>
      </c>
      <c r="G334">
        <v>8</v>
      </c>
      <c r="H334" t="s">
        <v>282</v>
      </c>
      <c r="I334" t="s">
        <v>283</v>
      </c>
      <c r="J334" t="s">
        <v>42</v>
      </c>
      <c r="K334" t="s">
        <v>284</v>
      </c>
      <c r="L334" t="s">
        <v>285</v>
      </c>
      <c r="M334" t="s">
        <v>101</v>
      </c>
      <c r="N334" t="s">
        <v>257</v>
      </c>
      <c r="O334">
        <v>120</v>
      </c>
      <c r="P334">
        <v>40.136054421768698</v>
      </c>
      <c r="Q334">
        <v>487</v>
      </c>
      <c r="R334">
        <v>1</v>
      </c>
      <c r="S334">
        <v>48.946840521564702</v>
      </c>
      <c r="T334">
        <f t="shared" si="5"/>
        <v>0.48946840521564705</v>
      </c>
      <c r="U334" t="s">
        <v>221</v>
      </c>
      <c r="V334" t="s">
        <v>48</v>
      </c>
    </row>
    <row r="335" spans="1:22" x14ac:dyDescent="0.25">
      <c r="A335">
        <v>334</v>
      </c>
      <c r="B335" t="s">
        <v>217</v>
      </c>
      <c r="C335" s="2">
        <v>43321</v>
      </c>
      <c r="D335" t="s">
        <v>37</v>
      </c>
      <c r="F335" t="s">
        <v>39</v>
      </c>
      <c r="G335">
        <v>8</v>
      </c>
      <c r="H335" t="s">
        <v>286</v>
      </c>
      <c r="I335" t="s">
        <v>287</v>
      </c>
      <c r="J335" t="s">
        <v>42</v>
      </c>
      <c r="K335" t="s">
        <v>288</v>
      </c>
      <c r="L335" t="s">
        <v>289</v>
      </c>
      <c r="M335" t="s">
        <v>45</v>
      </c>
      <c r="N335" t="s">
        <v>257</v>
      </c>
      <c r="O335">
        <v>96</v>
      </c>
      <c r="P335">
        <v>45.575221238937999</v>
      </c>
      <c r="Q335">
        <v>603.1</v>
      </c>
      <c r="R335">
        <v>1</v>
      </c>
      <c r="S335">
        <v>51.815181518151803</v>
      </c>
      <c r="T335">
        <f t="shared" si="5"/>
        <v>0.51815181518151798</v>
      </c>
      <c r="U335" t="s">
        <v>221</v>
      </c>
      <c r="V335" t="s">
        <v>48</v>
      </c>
    </row>
    <row r="336" spans="1:22" x14ac:dyDescent="0.25">
      <c r="A336">
        <v>335</v>
      </c>
      <c r="B336" t="s">
        <v>217</v>
      </c>
      <c r="C336" s="2">
        <v>43321</v>
      </c>
      <c r="D336" t="s">
        <v>37</v>
      </c>
      <c r="F336" t="s">
        <v>39</v>
      </c>
      <c r="G336">
        <v>8</v>
      </c>
      <c r="H336" t="s">
        <v>290</v>
      </c>
      <c r="I336" t="s">
        <v>291</v>
      </c>
      <c r="J336" t="s">
        <v>42</v>
      </c>
      <c r="K336" t="s">
        <v>292</v>
      </c>
      <c r="L336" t="s">
        <v>293</v>
      </c>
      <c r="M336" t="s">
        <v>101</v>
      </c>
      <c r="N336" t="s">
        <v>294</v>
      </c>
      <c r="O336">
        <v>82</v>
      </c>
      <c r="P336">
        <v>46.747967479674799</v>
      </c>
      <c r="Q336">
        <v>703.8</v>
      </c>
      <c r="R336">
        <v>0</v>
      </c>
      <c r="S336">
        <v>60.795454545454497</v>
      </c>
      <c r="T336">
        <f t="shared" si="5"/>
        <v>0.60795454545454497</v>
      </c>
      <c r="U336" t="s">
        <v>221</v>
      </c>
      <c r="V336" t="s">
        <v>295</v>
      </c>
    </row>
    <row r="337" spans="1:22" x14ac:dyDescent="0.25">
      <c r="A337">
        <v>336</v>
      </c>
      <c r="B337" t="s">
        <v>217</v>
      </c>
      <c r="C337" s="2">
        <v>43321</v>
      </c>
      <c r="D337" t="s">
        <v>37</v>
      </c>
      <c r="F337" t="s">
        <v>39</v>
      </c>
      <c r="G337">
        <v>8</v>
      </c>
      <c r="H337" t="s">
        <v>296</v>
      </c>
      <c r="I337" t="s">
        <v>297</v>
      </c>
      <c r="J337" t="s">
        <v>42</v>
      </c>
      <c r="K337" t="s">
        <v>298</v>
      </c>
      <c r="L337" t="s">
        <v>293</v>
      </c>
      <c r="M337" t="s">
        <v>101</v>
      </c>
      <c r="N337" t="s">
        <v>294</v>
      </c>
      <c r="O337">
        <v>32</v>
      </c>
      <c r="P337">
        <v>61.607142857142897</v>
      </c>
      <c r="Q337">
        <v>801</v>
      </c>
      <c r="R337">
        <v>0</v>
      </c>
      <c r="S337">
        <v>52.895148669796498</v>
      </c>
      <c r="T337">
        <f t="shared" si="5"/>
        <v>0.52895148669796499</v>
      </c>
      <c r="U337" t="s">
        <v>221</v>
      </c>
      <c r="V337" t="s">
        <v>295</v>
      </c>
    </row>
    <row r="338" spans="1:22" x14ac:dyDescent="0.25">
      <c r="A338">
        <v>337</v>
      </c>
      <c r="B338" t="s">
        <v>217</v>
      </c>
      <c r="C338" s="2">
        <v>43321</v>
      </c>
      <c r="D338" t="s">
        <v>37</v>
      </c>
      <c r="F338" t="s">
        <v>39</v>
      </c>
      <c r="G338">
        <v>8</v>
      </c>
      <c r="H338" t="s">
        <v>299</v>
      </c>
      <c r="I338" t="s">
        <v>300</v>
      </c>
      <c r="J338" t="s">
        <v>42</v>
      </c>
      <c r="K338" t="s">
        <v>301</v>
      </c>
      <c r="L338" t="s">
        <v>302</v>
      </c>
      <c r="M338" t="s">
        <v>45</v>
      </c>
      <c r="N338" t="s">
        <v>294</v>
      </c>
      <c r="O338">
        <v>51</v>
      </c>
      <c r="P338">
        <v>65.2173913043478</v>
      </c>
      <c r="Q338">
        <v>674.3</v>
      </c>
      <c r="R338">
        <v>1</v>
      </c>
      <c r="S338">
        <v>70.925684485006499</v>
      </c>
      <c r="T338">
        <f t="shared" si="5"/>
        <v>0.70925684485006502</v>
      </c>
      <c r="U338" t="s">
        <v>221</v>
      </c>
      <c r="V338" t="s">
        <v>295</v>
      </c>
    </row>
    <row r="339" spans="1:22" x14ac:dyDescent="0.25">
      <c r="A339">
        <v>338</v>
      </c>
      <c r="B339" t="s">
        <v>217</v>
      </c>
      <c r="C339" s="2">
        <v>43321</v>
      </c>
      <c r="D339" t="s">
        <v>37</v>
      </c>
      <c r="F339" t="s">
        <v>39</v>
      </c>
      <c r="G339">
        <v>8</v>
      </c>
      <c r="H339" t="s">
        <v>303</v>
      </c>
      <c r="I339" t="s">
        <v>304</v>
      </c>
      <c r="J339" t="s">
        <v>42</v>
      </c>
      <c r="K339" t="s">
        <v>305</v>
      </c>
      <c r="L339" t="s">
        <v>250</v>
      </c>
      <c r="M339" t="s">
        <v>101</v>
      </c>
      <c r="N339" t="s">
        <v>294</v>
      </c>
      <c r="O339">
        <v>65</v>
      </c>
      <c r="P339">
        <v>44.927536231883998</v>
      </c>
      <c r="Q339">
        <v>633.29999999999995</v>
      </c>
      <c r="R339">
        <v>1</v>
      </c>
      <c r="S339">
        <v>62.783375314861502</v>
      </c>
      <c r="T339">
        <f t="shared" si="5"/>
        <v>0.627833753148615</v>
      </c>
      <c r="U339" t="s">
        <v>221</v>
      </c>
      <c r="V339" t="s">
        <v>295</v>
      </c>
    </row>
    <row r="340" spans="1:22" x14ac:dyDescent="0.25">
      <c r="A340">
        <v>339</v>
      </c>
      <c r="B340" t="s">
        <v>217</v>
      </c>
      <c r="C340" s="2">
        <v>43321</v>
      </c>
      <c r="D340" t="s">
        <v>37</v>
      </c>
      <c r="F340" t="s">
        <v>39</v>
      </c>
      <c r="G340">
        <v>8</v>
      </c>
      <c r="H340" t="s">
        <v>306</v>
      </c>
      <c r="I340" t="s">
        <v>307</v>
      </c>
      <c r="J340" t="s">
        <v>42</v>
      </c>
      <c r="K340" t="s">
        <v>308</v>
      </c>
      <c r="L340" t="s">
        <v>250</v>
      </c>
      <c r="M340" t="s">
        <v>101</v>
      </c>
      <c r="N340" t="s">
        <v>294</v>
      </c>
      <c r="O340">
        <v>50</v>
      </c>
      <c r="P340">
        <v>76.807980049875297</v>
      </c>
      <c r="Q340">
        <v>768.6</v>
      </c>
      <c r="R340">
        <v>1</v>
      </c>
      <c r="S340">
        <v>55.0045913682277</v>
      </c>
      <c r="T340">
        <f t="shared" si="5"/>
        <v>0.55004591368227695</v>
      </c>
      <c r="U340" t="s">
        <v>221</v>
      </c>
      <c r="V340" t="s">
        <v>295</v>
      </c>
    </row>
    <row r="341" spans="1:22" x14ac:dyDescent="0.25">
      <c r="A341">
        <v>340</v>
      </c>
      <c r="B341" t="s">
        <v>217</v>
      </c>
      <c r="C341" s="2">
        <v>43321</v>
      </c>
      <c r="D341" t="s">
        <v>37</v>
      </c>
      <c r="F341" t="s">
        <v>39</v>
      </c>
      <c r="G341">
        <v>8</v>
      </c>
      <c r="H341" t="s">
        <v>309</v>
      </c>
      <c r="I341" t="s">
        <v>310</v>
      </c>
      <c r="J341" t="s">
        <v>42</v>
      </c>
      <c r="K341" t="s">
        <v>311</v>
      </c>
      <c r="L341" t="s">
        <v>250</v>
      </c>
      <c r="M341" t="s">
        <v>101</v>
      </c>
      <c r="N341" t="s">
        <v>294</v>
      </c>
      <c r="O341">
        <v>120</v>
      </c>
      <c r="P341">
        <v>63.218390804597703</v>
      </c>
      <c r="Q341">
        <v>493.1</v>
      </c>
      <c r="R341">
        <v>1</v>
      </c>
      <c r="S341">
        <v>62.4577226606539</v>
      </c>
      <c r="T341">
        <f t="shared" si="5"/>
        <v>0.62457722660653903</v>
      </c>
      <c r="U341" t="s">
        <v>221</v>
      </c>
      <c r="V341" t="s">
        <v>295</v>
      </c>
    </row>
    <row r="342" spans="1:22" x14ac:dyDescent="0.25">
      <c r="A342">
        <v>341</v>
      </c>
      <c r="B342" t="s">
        <v>217</v>
      </c>
      <c r="C342" s="2">
        <v>43321</v>
      </c>
      <c r="D342" t="s">
        <v>37</v>
      </c>
      <c r="F342" t="s">
        <v>39</v>
      </c>
      <c r="G342">
        <v>8</v>
      </c>
      <c r="H342" t="s">
        <v>312</v>
      </c>
      <c r="I342" t="s">
        <v>313</v>
      </c>
      <c r="J342" t="s">
        <v>42</v>
      </c>
      <c r="K342" t="s">
        <v>314</v>
      </c>
      <c r="L342" t="s">
        <v>250</v>
      </c>
      <c r="M342" t="s">
        <v>101</v>
      </c>
      <c r="N342" t="s">
        <v>294</v>
      </c>
      <c r="O342">
        <v>26</v>
      </c>
      <c r="P342">
        <v>61.578947368420998</v>
      </c>
      <c r="Q342">
        <v>679.4</v>
      </c>
      <c r="R342">
        <v>0</v>
      </c>
      <c r="S342">
        <v>54.241071428571402</v>
      </c>
      <c r="T342">
        <f t="shared" si="5"/>
        <v>0.54241071428571397</v>
      </c>
      <c r="U342" t="s">
        <v>221</v>
      </c>
      <c r="V342" t="s">
        <v>295</v>
      </c>
    </row>
    <row r="343" spans="1:22" x14ac:dyDescent="0.25">
      <c r="A343">
        <v>342</v>
      </c>
      <c r="B343" t="s">
        <v>217</v>
      </c>
      <c r="C343" s="2">
        <v>43321</v>
      </c>
      <c r="D343" t="s">
        <v>37</v>
      </c>
      <c r="F343" t="s">
        <v>39</v>
      </c>
      <c r="G343">
        <v>8</v>
      </c>
      <c r="H343" t="s">
        <v>315</v>
      </c>
      <c r="I343" t="s">
        <v>316</v>
      </c>
      <c r="J343" t="s">
        <v>42</v>
      </c>
      <c r="K343" t="s">
        <v>317</v>
      </c>
      <c r="L343" t="s">
        <v>185</v>
      </c>
      <c r="M343" t="s">
        <v>101</v>
      </c>
      <c r="N343" t="s">
        <v>294</v>
      </c>
      <c r="O343">
        <v>120</v>
      </c>
      <c r="P343">
        <v>85.714285714285694</v>
      </c>
      <c r="Q343">
        <v>801</v>
      </c>
      <c r="R343">
        <v>1</v>
      </c>
      <c r="S343">
        <v>51.0416666666667</v>
      </c>
      <c r="T343">
        <f t="shared" si="5"/>
        <v>0.51041666666666696</v>
      </c>
      <c r="U343" t="s">
        <v>221</v>
      </c>
      <c r="V343" t="s">
        <v>295</v>
      </c>
    </row>
    <row r="344" spans="1:22" x14ac:dyDescent="0.25">
      <c r="A344">
        <v>343</v>
      </c>
      <c r="B344" t="s">
        <v>217</v>
      </c>
      <c r="C344" s="2">
        <v>43321</v>
      </c>
      <c r="D344" t="s">
        <v>37</v>
      </c>
      <c r="F344" t="s">
        <v>39</v>
      </c>
      <c r="G344">
        <v>8</v>
      </c>
      <c r="H344" t="s">
        <v>318</v>
      </c>
      <c r="I344" t="s">
        <v>319</v>
      </c>
      <c r="J344" t="s">
        <v>109</v>
      </c>
      <c r="K344" t="s">
        <v>320</v>
      </c>
      <c r="L344" t="s">
        <v>185</v>
      </c>
      <c r="M344" t="s">
        <v>101</v>
      </c>
      <c r="N344" t="s">
        <v>294</v>
      </c>
      <c r="O344">
        <v>84</v>
      </c>
      <c r="P344">
        <v>47.524752475247503</v>
      </c>
      <c r="Q344">
        <v>718.6</v>
      </c>
      <c r="R344">
        <v>0</v>
      </c>
      <c r="S344">
        <v>48.833819241982503</v>
      </c>
      <c r="T344">
        <f t="shared" si="5"/>
        <v>0.48833819241982501</v>
      </c>
      <c r="U344" t="s">
        <v>221</v>
      </c>
      <c r="V344" t="s">
        <v>295</v>
      </c>
    </row>
    <row r="345" spans="1:22" x14ac:dyDescent="0.25">
      <c r="A345">
        <v>344</v>
      </c>
      <c r="B345" t="s">
        <v>217</v>
      </c>
      <c r="C345" s="2">
        <v>43321</v>
      </c>
      <c r="D345" t="s">
        <v>37</v>
      </c>
      <c r="F345" t="s">
        <v>39</v>
      </c>
      <c r="G345">
        <v>8</v>
      </c>
      <c r="H345" t="s">
        <v>321</v>
      </c>
      <c r="I345" t="s">
        <v>322</v>
      </c>
      <c r="J345" t="s">
        <v>42</v>
      </c>
      <c r="K345" t="s">
        <v>323</v>
      </c>
      <c r="L345" t="s">
        <v>185</v>
      </c>
      <c r="M345" t="s">
        <v>101</v>
      </c>
      <c r="N345" t="s">
        <v>294</v>
      </c>
      <c r="O345">
        <v>120</v>
      </c>
      <c r="P345">
        <v>46.25</v>
      </c>
      <c r="Q345">
        <v>487.7</v>
      </c>
      <c r="R345">
        <v>1</v>
      </c>
      <c r="S345">
        <v>50.250752256770298</v>
      </c>
      <c r="T345">
        <f t="shared" si="5"/>
        <v>0.50250752256770292</v>
      </c>
      <c r="U345" t="s">
        <v>221</v>
      </c>
      <c r="V345" t="s">
        <v>295</v>
      </c>
    </row>
    <row r="346" spans="1:22" x14ac:dyDescent="0.25">
      <c r="A346">
        <v>345</v>
      </c>
      <c r="B346" t="s">
        <v>217</v>
      </c>
      <c r="C346" s="2">
        <v>43328</v>
      </c>
      <c r="D346" t="s">
        <v>37</v>
      </c>
      <c r="F346" t="s">
        <v>39</v>
      </c>
      <c r="G346">
        <v>9</v>
      </c>
      <c r="H346" t="s">
        <v>218</v>
      </c>
      <c r="I346" t="s">
        <v>219</v>
      </c>
      <c r="J346" t="s">
        <v>42</v>
      </c>
      <c r="K346" t="s">
        <v>220</v>
      </c>
      <c r="L346" t="s">
        <v>44</v>
      </c>
      <c r="M346" t="s">
        <v>45</v>
      </c>
      <c r="N346" t="s">
        <v>46</v>
      </c>
      <c r="O346">
        <v>17</v>
      </c>
      <c r="P346">
        <v>56.435643564356397</v>
      </c>
      <c r="Q346">
        <v>659</v>
      </c>
      <c r="R346">
        <v>0</v>
      </c>
      <c r="S346">
        <v>52.236421725239602</v>
      </c>
      <c r="T346">
        <f t="shared" si="5"/>
        <v>0.52236421725239601</v>
      </c>
      <c r="U346" t="s">
        <v>221</v>
      </c>
      <c r="V346" t="s">
        <v>48</v>
      </c>
    </row>
    <row r="347" spans="1:22" x14ac:dyDescent="0.25">
      <c r="A347">
        <v>346</v>
      </c>
      <c r="B347" t="s">
        <v>217</v>
      </c>
      <c r="C347" s="2">
        <v>43328</v>
      </c>
      <c r="D347" t="s">
        <v>37</v>
      </c>
      <c r="F347" t="s">
        <v>39</v>
      </c>
      <c r="G347">
        <v>9</v>
      </c>
      <c r="H347" t="s">
        <v>222</v>
      </c>
      <c r="I347" t="s">
        <v>223</v>
      </c>
      <c r="J347" t="s">
        <v>42</v>
      </c>
      <c r="K347" t="s">
        <v>224</v>
      </c>
      <c r="L347" t="s">
        <v>225</v>
      </c>
      <c r="M347" t="s">
        <v>45</v>
      </c>
      <c r="N347" t="s">
        <v>46</v>
      </c>
      <c r="O347">
        <v>72</v>
      </c>
      <c r="P347">
        <v>80</v>
      </c>
      <c r="Q347">
        <v>608.5</v>
      </c>
      <c r="R347">
        <v>0</v>
      </c>
      <c r="S347">
        <v>40.145985401459903</v>
      </c>
      <c r="T347">
        <f t="shared" si="5"/>
        <v>0.40145985401459905</v>
      </c>
      <c r="U347" t="s">
        <v>221</v>
      </c>
      <c r="V347" t="s">
        <v>48</v>
      </c>
    </row>
    <row r="348" spans="1:22" x14ac:dyDescent="0.25">
      <c r="A348">
        <v>347</v>
      </c>
      <c r="B348" t="s">
        <v>217</v>
      </c>
      <c r="C348" s="2">
        <v>43328</v>
      </c>
      <c r="D348" t="s">
        <v>37</v>
      </c>
      <c r="F348" t="s">
        <v>39</v>
      </c>
      <c r="G348">
        <v>9</v>
      </c>
      <c r="H348" t="s">
        <v>226</v>
      </c>
      <c r="I348" t="s">
        <v>227</v>
      </c>
      <c r="J348" t="s">
        <v>42</v>
      </c>
      <c r="K348" t="s">
        <v>228</v>
      </c>
      <c r="L348" t="s">
        <v>225</v>
      </c>
      <c r="M348" t="s">
        <v>45</v>
      </c>
      <c r="N348" t="s">
        <v>46</v>
      </c>
      <c r="O348">
        <v>20</v>
      </c>
      <c r="P348">
        <v>85</v>
      </c>
      <c r="Q348">
        <v>654.79999999999995</v>
      </c>
      <c r="R348">
        <v>0</v>
      </c>
      <c r="S348">
        <v>50.253807106598998</v>
      </c>
      <c r="T348">
        <f t="shared" si="5"/>
        <v>0.50253807106599002</v>
      </c>
      <c r="U348" t="s">
        <v>221</v>
      </c>
      <c r="V348" t="s">
        <v>48</v>
      </c>
    </row>
    <row r="349" spans="1:22" x14ac:dyDescent="0.25">
      <c r="A349">
        <v>348</v>
      </c>
      <c r="B349" t="s">
        <v>217</v>
      </c>
      <c r="C349" s="2">
        <v>43328</v>
      </c>
      <c r="D349" t="s">
        <v>37</v>
      </c>
      <c r="F349" t="s">
        <v>39</v>
      </c>
      <c r="G349">
        <v>9</v>
      </c>
      <c r="H349" t="s">
        <v>229</v>
      </c>
      <c r="I349" t="s">
        <v>230</v>
      </c>
      <c r="J349" t="s">
        <v>42</v>
      </c>
      <c r="K349" t="s">
        <v>231</v>
      </c>
      <c r="L349" t="s">
        <v>232</v>
      </c>
      <c r="M349" t="s">
        <v>45</v>
      </c>
      <c r="N349" t="s">
        <v>46</v>
      </c>
      <c r="O349">
        <v>72</v>
      </c>
      <c r="P349">
        <v>9.5238095238095202</v>
      </c>
      <c r="Q349">
        <v>515.79999999999995</v>
      </c>
      <c r="R349">
        <v>0</v>
      </c>
      <c r="S349">
        <v>49.042145593869698</v>
      </c>
      <c r="T349">
        <f t="shared" si="5"/>
        <v>0.49042145593869696</v>
      </c>
      <c r="U349" t="s">
        <v>221</v>
      </c>
      <c r="V349" t="s">
        <v>48</v>
      </c>
    </row>
    <row r="350" spans="1:22" x14ac:dyDescent="0.25">
      <c r="A350">
        <v>349</v>
      </c>
      <c r="B350" t="s">
        <v>217</v>
      </c>
      <c r="C350" s="2">
        <v>43328</v>
      </c>
      <c r="D350" t="s">
        <v>37</v>
      </c>
      <c r="F350" t="s">
        <v>39</v>
      </c>
      <c r="G350">
        <v>9</v>
      </c>
      <c r="H350" t="s">
        <v>233</v>
      </c>
      <c r="I350" t="s">
        <v>234</v>
      </c>
      <c r="J350" t="s">
        <v>42</v>
      </c>
      <c r="K350" t="s">
        <v>235</v>
      </c>
      <c r="L350" t="s">
        <v>232</v>
      </c>
      <c r="M350" t="s">
        <v>45</v>
      </c>
      <c r="N350" t="s">
        <v>46</v>
      </c>
      <c r="O350">
        <v>47</v>
      </c>
      <c r="P350">
        <v>42.307692307692299</v>
      </c>
      <c r="Q350">
        <v>558.4</v>
      </c>
      <c r="R350">
        <v>0</v>
      </c>
      <c r="S350">
        <v>57.220708446866503</v>
      </c>
      <c r="T350">
        <f t="shared" si="5"/>
        <v>0.57220708446866508</v>
      </c>
      <c r="U350" t="s">
        <v>221</v>
      </c>
      <c r="V350" t="s">
        <v>48</v>
      </c>
    </row>
    <row r="351" spans="1:22" x14ac:dyDescent="0.25">
      <c r="A351">
        <v>350</v>
      </c>
      <c r="B351" t="s">
        <v>217</v>
      </c>
      <c r="C351" s="2">
        <v>43328</v>
      </c>
      <c r="D351" t="s">
        <v>37</v>
      </c>
      <c r="F351" t="s">
        <v>39</v>
      </c>
      <c r="G351">
        <v>9</v>
      </c>
      <c r="H351" t="s">
        <v>236</v>
      </c>
      <c r="I351" t="s">
        <v>237</v>
      </c>
      <c r="J351" t="s">
        <v>42</v>
      </c>
      <c r="K351" t="s">
        <v>238</v>
      </c>
      <c r="L351" t="s">
        <v>239</v>
      </c>
      <c r="M351" t="s">
        <v>45</v>
      </c>
      <c r="N351" t="s">
        <v>46</v>
      </c>
      <c r="O351">
        <v>40</v>
      </c>
      <c r="P351">
        <v>21.875</v>
      </c>
      <c r="Q351">
        <v>477</v>
      </c>
      <c r="R351">
        <v>1</v>
      </c>
      <c r="S351">
        <v>49.902912621359199</v>
      </c>
      <c r="T351">
        <f t="shared" si="5"/>
        <v>0.49902912621359197</v>
      </c>
      <c r="U351" t="s">
        <v>221</v>
      </c>
      <c r="V351" t="s">
        <v>48</v>
      </c>
    </row>
    <row r="352" spans="1:22" x14ac:dyDescent="0.25">
      <c r="A352">
        <v>351</v>
      </c>
      <c r="B352" t="s">
        <v>217</v>
      </c>
      <c r="C352" s="2">
        <v>43328</v>
      </c>
      <c r="D352" t="s">
        <v>37</v>
      </c>
      <c r="F352" t="s">
        <v>39</v>
      </c>
      <c r="G352">
        <v>9</v>
      </c>
      <c r="H352" t="s">
        <v>240</v>
      </c>
      <c r="I352" t="s">
        <v>241</v>
      </c>
      <c r="J352" t="s">
        <v>42</v>
      </c>
      <c r="K352" t="s">
        <v>242</v>
      </c>
      <c r="L352" t="s">
        <v>111</v>
      </c>
      <c r="M352" t="s">
        <v>45</v>
      </c>
      <c r="N352" t="s">
        <v>46</v>
      </c>
      <c r="O352">
        <v>74</v>
      </c>
      <c r="P352">
        <v>78.787878787878796</v>
      </c>
      <c r="Q352">
        <v>662.4</v>
      </c>
      <c r="R352">
        <v>0</v>
      </c>
      <c r="S352">
        <v>45.704162976085001</v>
      </c>
      <c r="T352">
        <f t="shared" si="5"/>
        <v>0.45704162976085</v>
      </c>
      <c r="U352" t="s">
        <v>221</v>
      </c>
      <c r="V352" t="s">
        <v>48</v>
      </c>
    </row>
    <row r="353" spans="1:22" x14ac:dyDescent="0.25">
      <c r="A353">
        <v>352</v>
      </c>
      <c r="B353" t="s">
        <v>217</v>
      </c>
      <c r="C353" s="2">
        <v>43328</v>
      </c>
      <c r="D353" t="s">
        <v>37</v>
      </c>
      <c r="F353" t="s">
        <v>39</v>
      </c>
      <c r="G353">
        <v>9</v>
      </c>
      <c r="H353" t="s">
        <v>243</v>
      </c>
      <c r="I353" t="s">
        <v>244</v>
      </c>
      <c r="J353" t="s">
        <v>42</v>
      </c>
      <c r="K353" t="s">
        <v>245</v>
      </c>
      <c r="L353" t="s">
        <v>246</v>
      </c>
      <c r="M353" t="s">
        <v>45</v>
      </c>
      <c r="N353" t="s">
        <v>46</v>
      </c>
      <c r="O353">
        <v>120</v>
      </c>
      <c r="P353">
        <v>65.714285714285694</v>
      </c>
      <c r="Q353">
        <v>736.4</v>
      </c>
      <c r="R353">
        <v>1</v>
      </c>
      <c r="S353">
        <v>43.092522179974701</v>
      </c>
      <c r="T353">
        <f t="shared" si="5"/>
        <v>0.43092522179974702</v>
      </c>
      <c r="U353" t="s">
        <v>221</v>
      </c>
      <c r="V353" t="s">
        <v>48</v>
      </c>
    </row>
    <row r="354" spans="1:22" x14ac:dyDescent="0.25">
      <c r="A354">
        <v>353</v>
      </c>
      <c r="B354" t="s">
        <v>217</v>
      </c>
      <c r="C354" s="2">
        <v>43328</v>
      </c>
      <c r="D354" t="s">
        <v>37</v>
      </c>
      <c r="F354" t="s">
        <v>39</v>
      </c>
      <c r="G354">
        <v>9</v>
      </c>
      <c r="H354" t="s">
        <v>247</v>
      </c>
      <c r="I354" t="s">
        <v>248</v>
      </c>
      <c r="J354" t="s">
        <v>42</v>
      </c>
      <c r="K354" t="s">
        <v>249</v>
      </c>
      <c r="L354" t="s">
        <v>250</v>
      </c>
      <c r="M354" t="s">
        <v>45</v>
      </c>
      <c r="N354" t="s">
        <v>46</v>
      </c>
      <c r="O354">
        <v>12</v>
      </c>
      <c r="P354">
        <v>26.315789473684202</v>
      </c>
      <c r="Q354">
        <v>546</v>
      </c>
      <c r="R354">
        <v>0</v>
      </c>
      <c r="S354">
        <v>50.980392156862699</v>
      </c>
      <c r="T354">
        <f t="shared" si="5"/>
        <v>0.50980392156862697</v>
      </c>
      <c r="U354" t="s">
        <v>221</v>
      </c>
      <c r="V354" t="s">
        <v>48</v>
      </c>
    </row>
    <row r="355" spans="1:22" x14ac:dyDescent="0.25">
      <c r="A355">
        <v>354</v>
      </c>
      <c r="B355" t="s">
        <v>217</v>
      </c>
      <c r="C355" s="2">
        <v>43328</v>
      </c>
      <c r="D355" t="s">
        <v>37</v>
      </c>
      <c r="F355" t="s">
        <v>39</v>
      </c>
      <c r="G355">
        <v>8</v>
      </c>
      <c r="H355" t="s">
        <v>251</v>
      </c>
      <c r="I355" t="s">
        <v>252</v>
      </c>
      <c r="J355" t="s">
        <v>42</v>
      </c>
      <c r="K355" t="s">
        <v>253</v>
      </c>
      <c r="L355" t="s">
        <v>59</v>
      </c>
      <c r="M355" t="s">
        <v>45</v>
      </c>
      <c r="N355" t="s">
        <v>46</v>
      </c>
      <c r="O355">
        <v>120</v>
      </c>
      <c r="P355">
        <v>26.480836236933801</v>
      </c>
      <c r="Q355">
        <v>625.29999999999995</v>
      </c>
      <c r="R355">
        <v>1</v>
      </c>
      <c r="S355">
        <v>58.1683168316832</v>
      </c>
      <c r="T355">
        <f t="shared" si="5"/>
        <v>0.58168316831683198</v>
      </c>
      <c r="U355" t="s">
        <v>221</v>
      </c>
      <c r="V355" t="s">
        <v>48</v>
      </c>
    </row>
    <row r="356" spans="1:22" x14ac:dyDescent="0.25">
      <c r="A356">
        <v>355</v>
      </c>
      <c r="B356" t="s">
        <v>217</v>
      </c>
      <c r="C356" s="2">
        <v>43328</v>
      </c>
      <c r="D356" t="s">
        <v>37</v>
      </c>
      <c r="F356" t="s">
        <v>39</v>
      </c>
      <c r="G356">
        <v>9</v>
      </c>
      <c r="H356" t="s">
        <v>254</v>
      </c>
      <c r="I356" t="s">
        <v>255</v>
      </c>
      <c r="J356" t="s">
        <v>42</v>
      </c>
      <c r="K356" t="s">
        <v>256</v>
      </c>
      <c r="L356" t="s">
        <v>177</v>
      </c>
      <c r="M356" t="s">
        <v>101</v>
      </c>
      <c r="N356" t="s">
        <v>257</v>
      </c>
      <c r="O356">
        <v>120</v>
      </c>
      <c r="P356">
        <v>52.631578947368403</v>
      </c>
      <c r="Q356">
        <v>756.9</v>
      </c>
      <c r="R356">
        <v>1</v>
      </c>
      <c r="S356">
        <v>58.9013898080741</v>
      </c>
      <c r="T356">
        <f t="shared" si="5"/>
        <v>0.58901389808074101</v>
      </c>
      <c r="U356" t="s">
        <v>221</v>
      </c>
      <c r="V356" t="s">
        <v>48</v>
      </c>
    </row>
    <row r="357" spans="1:22" x14ac:dyDescent="0.25">
      <c r="A357">
        <v>356</v>
      </c>
      <c r="B357" t="s">
        <v>217</v>
      </c>
      <c r="C357" s="2">
        <v>43328</v>
      </c>
      <c r="D357" t="s">
        <v>37</v>
      </c>
      <c r="F357" t="s">
        <v>39</v>
      </c>
      <c r="G357">
        <v>9</v>
      </c>
      <c r="H357" t="s">
        <v>258</v>
      </c>
      <c r="I357" t="s">
        <v>259</v>
      </c>
      <c r="J357" t="s">
        <v>42</v>
      </c>
      <c r="K357" t="s">
        <v>260</v>
      </c>
      <c r="L357" t="s">
        <v>261</v>
      </c>
      <c r="M357" t="s">
        <v>45</v>
      </c>
      <c r="N357" t="s">
        <v>257</v>
      </c>
      <c r="O357">
        <v>83</v>
      </c>
      <c r="P357">
        <v>49.206349206349202</v>
      </c>
      <c r="Q357">
        <v>774</v>
      </c>
      <c r="R357">
        <v>1</v>
      </c>
      <c r="S357">
        <v>51.783517835178401</v>
      </c>
      <c r="T357">
        <f t="shared" si="5"/>
        <v>0.51783517835178405</v>
      </c>
      <c r="U357" t="s">
        <v>221</v>
      </c>
      <c r="V357" t="s">
        <v>48</v>
      </c>
    </row>
    <row r="358" spans="1:22" x14ac:dyDescent="0.25">
      <c r="A358">
        <v>357</v>
      </c>
      <c r="B358" t="s">
        <v>217</v>
      </c>
      <c r="C358" s="2">
        <v>43328</v>
      </c>
      <c r="D358" t="s">
        <v>37</v>
      </c>
      <c r="F358" t="s">
        <v>39</v>
      </c>
      <c r="G358">
        <v>9</v>
      </c>
      <c r="H358" t="s">
        <v>262</v>
      </c>
      <c r="I358" t="s">
        <v>263</v>
      </c>
      <c r="J358" t="s">
        <v>42</v>
      </c>
      <c r="K358" t="s">
        <v>264</v>
      </c>
      <c r="L358" t="s">
        <v>111</v>
      </c>
      <c r="M358" t="s">
        <v>101</v>
      </c>
      <c r="N358" t="s">
        <v>257</v>
      </c>
      <c r="O358">
        <v>14</v>
      </c>
      <c r="P358">
        <v>49.2753623188406</v>
      </c>
      <c r="Q358">
        <v>664.2</v>
      </c>
      <c r="R358">
        <v>0</v>
      </c>
      <c r="S358">
        <v>53.5682023486901</v>
      </c>
      <c r="T358">
        <f t="shared" si="5"/>
        <v>0.53568202348690097</v>
      </c>
      <c r="U358" t="s">
        <v>221</v>
      </c>
      <c r="V358" t="s">
        <v>48</v>
      </c>
    </row>
    <row r="359" spans="1:22" x14ac:dyDescent="0.25">
      <c r="A359">
        <v>358</v>
      </c>
      <c r="B359" t="s">
        <v>217</v>
      </c>
      <c r="C359" s="2">
        <v>43328</v>
      </c>
      <c r="D359" t="s">
        <v>37</v>
      </c>
      <c r="F359" t="s">
        <v>39</v>
      </c>
      <c r="G359">
        <v>9</v>
      </c>
      <c r="H359" t="s">
        <v>265</v>
      </c>
      <c r="I359" t="s">
        <v>266</v>
      </c>
      <c r="J359" t="s">
        <v>42</v>
      </c>
      <c r="K359" t="s">
        <v>267</v>
      </c>
      <c r="L359" t="s">
        <v>268</v>
      </c>
      <c r="M359" t="s">
        <v>45</v>
      </c>
      <c r="N359" t="s">
        <v>257</v>
      </c>
      <c r="O359">
        <v>107</v>
      </c>
      <c r="P359">
        <v>41.8848167539267</v>
      </c>
      <c r="Q359">
        <v>616.4</v>
      </c>
      <c r="R359">
        <v>0</v>
      </c>
      <c r="S359">
        <v>60.3534209333937</v>
      </c>
      <c r="T359">
        <f t="shared" si="5"/>
        <v>0.60353420933393698</v>
      </c>
      <c r="U359" t="s">
        <v>221</v>
      </c>
      <c r="V359" t="s">
        <v>48</v>
      </c>
    </row>
    <row r="360" spans="1:22" x14ac:dyDescent="0.25">
      <c r="A360">
        <v>359</v>
      </c>
      <c r="B360" t="s">
        <v>217</v>
      </c>
      <c r="C360" s="2">
        <v>43328</v>
      </c>
      <c r="D360" t="s">
        <v>37</v>
      </c>
      <c r="F360" t="s">
        <v>39</v>
      </c>
      <c r="G360">
        <v>9</v>
      </c>
      <c r="H360" t="s">
        <v>269</v>
      </c>
      <c r="I360" t="s">
        <v>270</v>
      </c>
      <c r="J360" t="s">
        <v>42</v>
      </c>
      <c r="K360" t="s">
        <v>271</v>
      </c>
      <c r="L360" t="s">
        <v>111</v>
      </c>
      <c r="M360" t="s">
        <v>45</v>
      </c>
      <c r="N360" t="s">
        <v>257</v>
      </c>
      <c r="O360">
        <v>120</v>
      </c>
      <c r="P360">
        <v>26.373626373626401</v>
      </c>
      <c r="Q360">
        <v>336.1</v>
      </c>
      <c r="R360">
        <v>1</v>
      </c>
      <c r="S360">
        <v>79.522862823061601</v>
      </c>
      <c r="T360">
        <f t="shared" si="5"/>
        <v>0.79522862823061602</v>
      </c>
      <c r="U360" t="s">
        <v>221</v>
      </c>
      <c r="V360" t="s">
        <v>48</v>
      </c>
    </row>
    <row r="361" spans="1:22" x14ac:dyDescent="0.25">
      <c r="A361">
        <v>360</v>
      </c>
      <c r="B361" t="s">
        <v>217</v>
      </c>
      <c r="C361" s="2">
        <v>43328</v>
      </c>
      <c r="D361" t="s">
        <v>37</v>
      </c>
      <c r="F361" t="s">
        <v>39</v>
      </c>
      <c r="G361">
        <v>9</v>
      </c>
      <c r="H361" t="s">
        <v>272</v>
      </c>
      <c r="I361" t="s">
        <v>273</v>
      </c>
      <c r="J361" t="s">
        <v>42</v>
      </c>
      <c r="K361" t="s">
        <v>274</v>
      </c>
      <c r="L361" t="s">
        <v>275</v>
      </c>
      <c r="M361" t="s">
        <v>101</v>
      </c>
      <c r="N361" t="s">
        <v>257</v>
      </c>
      <c r="O361">
        <v>120</v>
      </c>
      <c r="P361">
        <v>46.948356807511701</v>
      </c>
      <c r="Q361">
        <v>691.6</v>
      </c>
      <c r="R361">
        <v>1</v>
      </c>
      <c r="S361">
        <v>63.9278557114229</v>
      </c>
      <c r="T361">
        <f t="shared" si="5"/>
        <v>0.63927855711422898</v>
      </c>
      <c r="U361" t="s">
        <v>221</v>
      </c>
      <c r="V361" t="s">
        <v>48</v>
      </c>
    </row>
    <row r="362" spans="1:22" x14ac:dyDescent="0.25">
      <c r="A362">
        <v>361</v>
      </c>
      <c r="B362" t="s">
        <v>217</v>
      </c>
      <c r="C362" s="2">
        <v>43328</v>
      </c>
      <c r="D362" t="s">
        <v>37</v>
      </c>
      <c r="F362" t="s">
        <v>39</v>
      </c>
      <c r="G362">
        <v>9</v>
      </c>
      <c r="H362" t="s">
        <v>276</v>
      </c>
      <c r="I362" t="s">
        <v>277</v>
      </c>
      <c r="J362" t="s">
        <v>42</v>
      </c>
      <c r="K362" t="s">
        <v>278</v>
      </c>
      <c r="L362" t="s">
        <v>177</v>
      </c>
      <c r="M362" t="s">
        <v>101</v>
      </c>
      <c r="N362" t="s">
        <v>257</v>
      </c>
      <c r="O362">
        <v>120</v>
      </c>
      <c r="P362">
        <v>68.478260869565204</v>
      </c>
      <c r="Q362">
        <v>788.3</v>
      </c>
      <c r="R362">
        <v>1</v>
      </c>
      <c r="S362">
        <v>48.943661971830998</v>
      </c>
      <c r="T362">
        <f t="shared" si="5"/>
        <v>0.48943661971830998</v>
      </c>
      <c r="U362" t="s">
        <v>221</v>
      </c>
      <c r="V362" t="s">
        <v>48</v>
      </c>
    </row>
    <row r="363" spans="1:22" x14ac:dyDescent="0.25">
      <c r="A363">
        <v>362</v>
      </c>
      <c r="B363" t="s">
        <v>217</v>
      </c>
      <c r="C363" s="2">
        <v>43328</v>
      </c>
      <c r="D363" t="s">
        <v>37</v>
      </c>
      <c r="F363" t="s">
        <v>39</v>
      </c>
      <c r="G363">
        <v>9</v>
      </c>
      <c r="H363" t="s">
        <v>279</v>
      </c>
      <c r="I363" t="s">
        <v>280</v>
      </c>
      <c r="J363" t="s">
        <v>42</v>
      </c>
      <c r="K363" t="s">
        <v>281</v>
      </c>
      <c r="L363" t="s">
        <v>177</v>
      </c>
      <c r="M363" t="s">
        <v>45</v>
      </c>
      <c r="N363" t="s">
        <v>257</v>
      </c>
      <c r="O363">
        <v>74</v>
      </c>
      <c r="P363">
        <v>49.367088607594901</v>
      </c>
      <c r="Q363">
        <v>506.2</v>
      </c>
      <c r="R363">
        <v>0</v>
      </c>
      <c r="S363">
        <v>58.978583196046102</v>
      </c>
      <c r="T363">
        <f t="shared" si="5"/>
        <v>0.58978583196046097</v>
      </c>
      <c r="U363" t="s">
        <v>221</v>
      </c>
      <c r="V363" t="s">
        <v>48</v>
      </c>
    </row>
    <row r="364" spans="1:22" x14ac:dyDescent="0.25">
      <c r="A364">
        <v>363</v>
      </c>
      <c r="B364" t="s">
        <v>217</v>
      </c>
      <c r="C364" s="2">
        <v>43328</v>
      </c>
      <c r="D364" t="s">
        <v>37</v>
      </c>
      <c r="F364" t="s">
        <v>39</v>
      </c>
      <c r="G364">
        <v>9</v>
      </c>
      <c r="H364" t="s">
        <v>282</v>
      </c>
      <c r="I364" t="s">
        <v>283</v>
      </c>
      <c r="J364" t="s">
        <v>42</v>
      </c>
      <c r="K364" t="s">
        <v>284</v>
      </c>
      <c r="L364" t="s">
        <v>285</v>
      </c>
      <c r="M364" t="s">
        <v>101</v>
      </c>
      <c r="N364" t="s">
        <v>257</v>
      </c>
      <c r="O364">
        <v>120</v>
      </c>
      <c r="P364">
        <v>22.2222222222222</v>
      </c>
      <c r="Q364">
        <v>491.7</v>
      </c>
      <c r="R364">
        <v>1</v>
      </c>
      <c r="S364">
        <v>53.2043530834341</v>
      </c>
      <c r="T364">
        <f t="shared" si="5"/>
        <v>0.53204353083434097</v>
      </c>
      <c r="U364" t="s">
        <v>221</v>
      </c>
      <c r="V364" t="s">
        <v>48</v>
      </c>
    </row>
    <row r="365" spans="1:22" x14ac:dyDescent="0.25">
      <c r="A365">
        <v>364</v>
      </c>
      <c r="B365" t="s">
        <v>217</v>
      </c>
      <c r="C365" s="2">
        <v>43328</v>
      </c>
      <c r="D365" t="s">
        <v>37</v>
      </c>
      <c r="F365" t="s">
        <v>39</v>
      </c>
      <c r="G365">
        <v>9</v>
      </c>
      <c r="H365" t="s">
        <v>286</v>
      </c>
      <c r="I365" t="s">
        <v>287</v>
      </c>
      <c r="J365" t="s">
        <v>42</v>
      </c>
      <c r="K365" t="s">
        <v>288</v>
      </c>
      <c r="L365" t="s">
        <v>289</v>
      </c>
      <c r="M365" t="s">
        <v>45</v>
      </c>
      <c r="N365" t="s">
        <v>257</v>
      </c>
      <c r="O365">
        <v>113</v>
      </c>
      <c r="P365">
        <v>27.906976744186</v>
      </c>
      <c r="Q365">
        <v>474</v>
      </c>
      <c r="R365">
        <v>1</v>
      </c>
      <c r="S365">
        <v>51.467089611419503</v>
      </c>
      <c r="T365">
        <f t="shared" si="5"/>
        <v>0.51467089611419503</v>
      </c>
      <c r="U365" t="s">
        <v>221</v>
      </c>
      <c r="V365" t="s">
        <v>48</v>
      </c>
    </row>
    <row r="366" spans="1:22" x14ac:dyDescent="0.25">
      <c r="A366">
        <v>365</v>
      </c>
      <c r="B366" t="s">
        <v>217</v>
      </c>
      <c r="C366" s="2">
        <v>43328</v>
      </c>
      <c r="D366" t="s">
        <v>37</v>
      </c>
      <c r="F366" t="s">
        <v>39</v>
      </c>
      <c r="G366">
        <v>9</v>
      </c>
      <c r="H366" t="s">
        <v>290</v>
      </c>
      <c r="I366" t="s">
        <v>291</v>
      </c>
      <c r="J366" t="s">
        <v>42</v>
      </c>
      <c r="K366" t="s">
        <v>292</v>
      </c>
      <c r="L366" t="s">
        <v>293</v>
      </c>
      <c r="M366" t="s">
        <v>101</v>
      </c>
      <c r="N366" t="s">
        <v>294</v>
      </c>
      <c r="O366">
        <v>120</v>
      </c>
      <c r="P366">
        <v>54.135338345864703</v>
      </c>
      <c r="Q366">
        <v>766.5</v>
      </c>
      <c r="R366">
        <v>1</v>
      </c>
      <c r="S366">
        <v>60.407145824677997</v>
      </c>
      <c r="T366">
        <f t="shared" si="5"/>
        <v>0.60407145824677999</v>
      </c>
      <c r="U366" t="s">
        <v>221</v>
      </c>
      <c r="V366" t="s">
        <v>295</v>
      </c>
    </row>
    <row r="367" spans="1:22" x14ac:dyDescent="0.25">
      <c r="A367">
        <v>366</v>
      </c>
      <c r="B367" t="s">
        <v>217</v>
      </c>
      <c r="C367" s="2">
        <v>43328</v>
      </c>
      <c r="D367" t="s">
        <v>37</v>
      </c>
      <c r="F367" t="s">
        <v>39</v>
      </c>
      <c r="G367">
        <v>9</v>
      </c>
      <c r="H367" t="s">
        <v>296</v>
      </c>
      <c r="I367" t="s">
        <v>297</v>
      </c>
      <c r="J367" t="s">
        <v>42</v>
      </c>
      <c r="K367" t="s">
        <v>298</v>
      </c>
      <c r="L367" t="s">
        <v>293</v>
      </c>
      <c r="M367" t="s">
        <v>101</v>
      </c>
      <c r="N367" t="s">
        <v>294</v>
      </c>
      <c r="O367">
        <v>16</v>
      </c>
      <c r="P367">
        <v>69.047619047619094</v>
      </c>
      <c r="Q367">
        <v>737.4</v>
      </c>
      <c r="R367">
        <v>0</v>
      </c>
      <c r="S367">
        <v>56.2220804084237</v>
      </c>
      <c r="T367">
        <f t="shared" si="5"/>
        <v>0.56222080408423702</v>
      </c>
      <c r="U367" t="s">
        <v>221</v>
      </c>
      <c r="V367" t="s">
        <v>295</v>
      </c>
    </row>
    <row r="368" spans="1:22" x14ac:dyDescent="0.25">
      <c r="A368">
        <v>367</v>
      </c>
      <c r="B368" t="s">
        <v>217</v>
      </c>
      <c r="C368" s="2">
        <v>43328</v>
      </c>
      <c r="D368" t="s">
        <v>37</v>
      </c>
      <c r="F368" t="s">
        <v>39</v>
      </c>
      <c r="G368">
        <v>9</v>
      </c>
      <c r="H368" t="s">
        <v>299</v>
      </c>
      <c r="I368" t="s">
        <v>300</v>
      </c>
      <c r="J368" t="s">
        <v>42</v>
      </c>
      <c r="K368" t="s">
        <v>301</v>
      </c>
      <c r="L368" t="s">
        <v>302</v>
      </c>
      <c r="M368" t="s">
        <v>45</v>
      </c>
      <c r="N368" t="s">
        <v>294</v>
      </c>
      <c r="O368">
        <v>85</v>
      </c>
      <c r="P368">
        <v>25.806451612903199</v>
      </c>
      <c r="Q368">
        <v>488.5</v>
      </c>
      <c r="R368">
        <v>1</v>
      </c>
      <c r="S368">
        <v>72.413793103448299</v>
      </c>
      <c r="T368">
        <f t="shared" si="5"/>
        <v>0.72413793103448298</v>
      </c>
      <c r="U368" t="s">
        <v>221</v>
      </c>
      <c r="V368" t="s">
        <v>295</v>
      </c>
    </row>
    <row r="369" spans="1:22" x14ac:dyDescent="0.25">
      <c r="A369">
        <v>368</v>
      </c>
      <c r="B369" t="s">
        <v>217</v>
      </c>
      <c r="C369" s="2">
        <v>43328</v>
      </c>
      <c r="D369" t="s">
        <v>37</v>
      </c>
      <c r="F369" t="s">
        <v>39</v>
      </c>
      <c r="G369">
        <v>9</v>
      </c>
      <c r="H369" t="s">
        <v>303</v>
      </c>
      <c r="I369" t="s">
        <v>304</v>
      </c>
      <c r="J369" t="s">
        <v>42</v>
      </c>
      <c r="K369" t="s">
        <v>305</v>
      </c>
      <c r="L369" t="s">
        <v>250</v>
      </c>
      <c r="M369" t="s">
        <v>101</v>
      </c>
      <c r="N369" t="s">
        <v>294</v>
      </c>
      <c r="O369">
        <v>91</v>
      </c>
      <c r="P369">
        <v>56.9343065693431</v>
      </c>
      <c r="Q369">
        <v>770.7</v>
      </c>
      <c r="R369">
        <v>0</v>
      </c>
      <c r="S369">
        <v>57.846153846153797</v>
      </c>
      <c r="T369">
        <f t="shared" si="5"/>
        <v>0.57846153846153792</v>
      </c>
      <c r="U369" t="s">
        <v>221</v>
      </c>
      <c r="V369" t="s">
        <v>295</v>
      </c>
    </row>
    <row r="370" spans="1:22" x14ac:dyDescent="0.25">
      <c r="A370">
        <v>369</v>
      </c>
      <c r="B370" t="s">
        <v>217</v>
      </c>
      <c r="C370" s="2">
        <v>43328</v>
      </c>
      <c r="D370" t="s">
        <v>37</v>
      </c>
      <c r="F370" t="s">
        <v>39</v>
      </c>
      <c r="G370">
        <v>9</v>
      </c>
      <c r="H370" t="s">
        <v>306</v>
      </c>
      <c r="I370" t="s">
        <v>307</v>
      </c>
      <c r="J370" t="s">
        <v>42</v>
      </c>
      <c r="K370" t="s">
        <v>308</v>
      </c>
      <c r="L370" t="s">
        <v>250</v>
      </c>
      <c r="M370" t="s">
        <v>101</v>
      </c>
      <c r="N370" t="s">
        <v>294</v>
      </c>
      <c r="O370">
        <v>61</v>
      </c>
      <c r="P370">
        <v>58.407079646017699</v>
      </c>
      <c r="Q370">
        <v>740.3</v>
      </c>
      <c r="R370">
        <v>1</v>
      </c>
      <c r="S370">
        <v>45.687885010266903</v>
      </c>
      <c r="T370">
        <f t="shared" si="5"/>
        <v>0.45687885010266904</v>
      </c>
      <c r="U370" t="s">
        <v>221</v>
      </c>
      <c r="V370" t="s">
        <v>295</v>
      </c>
    </row>
    <row r="371" spans="1:22" x14ac:dyDescent="0.25">
      <c r="A371">
        <v>370</v>
      </c>
      <c r="B371" t="s">
        <v>217</v>
      </c>
      <c r="C371" s="2">
        <v>43328</v>
      </c>
      <c r="D371" t="s">
        <v>37</v>
      </c>
      <c r="F371" t="s">
        <v>39</v>
      </c>
      <c r="G371">
        <v>9</v>
      </c>
      <c r="H371" t="s">
        <v>309</v>
      </c>
      <c r="I371" t="s">
        <v>310</v>
      </c>
      <c r="J371" t="s">
        <v>42</v>
      </c>
      <c r="K371" t="s">
        <v>311</v>
      </c>
      <c r="L371" t="s">
        <v>250</v>
      </c>
      <c r="M371" t="s">
        <v>101</v>
      </c>
      <c r="N371" t="s">
        <v>294</v>
      </c>
      <c r="O371">
        <v>120</v>
      </c>
      <c r="P371">
        <v>34.328358208955201</v>
      </c>
      <c r="Q371">
        <v>639.4</v>
      </c>
      <c r="R371">
        <v>1</v>
      </c>
      <c r="S371">
        <v>63.490099009901002</v>
      </c>
      <c r="T371">
        <f t="shared" si="5"/>
        <v>0.63490099009901002</v>
      </c>
      <c r="U371" t="s">
        <v>221</v>
      </c>
      <c r="V371" t="s">
        <v>295</v>
      </c>
    </row>
    <row r="372" spans="1:22" x14ac:dyDescent="0.25">
      <c r="A372">
        <v>371</v>
      </c>
      <c r="B372" t="s">
        <v>217</v>
      </c>
      <c r="C372" s="2">
        <v>43328</v>
      </c>
      <c r="D372" t="s">
        <v>37</v>
      </c>
      <c r="F372" t="s">
        <v>39</v>
      </c>
      <c r="G372">
        <v>9</v>
      </c>
      <c r="H372" t="s">
        <v>312</v>
      </c>
      <c r="I372" t="s">
        <v>313</v>
      </c>
      <c r="J372" t="s">
        <v>42</v>
      </c>
      <c r="K372" t="s">
        <v>314</v>
      </c>
      <c r="L372" t="s">
        <v>250</v>
      </c>
      <c r="M372" t="s">
        <v>101</v>
      </c>
      <c r="N372" t="s">
        <v>294</v>
      </c>
      <c r="O372">
        <v>54</v>
      </c>
      <c r="P372">
        <v>36.986301369863</v>
      </c>
      <c r="Q372">
        <v>683.6</v>
      </c>
      <c r="R372">
        <v>1</v>
      </c>
      <c r="S372">
        <v>56.297548605240898</v>
      </c>
      <c r="T372">
        <f t="shared" si="5"/>
        <v>0.56297548605240899</v>
      </c>
      <c r="U372" t="s">
        <v>221</v>
      </c>
      <c r="V372" t="s">
        <v>295</v>
      </c>
    </row>
    <row r="373" spans="1:22" x14ac:dyDescent="0.25">
      <c r="A373">
        <v>372</v>
      </c>
      <c r="B373" t="s">
        <v>217</v>
      </c>
      <c r="C373" s="2">
        <v>43328</v>
      </c>
      <c r="D373" t="s">
        <v>37</v>
      </c>
      <c r="F373" t="s">
        <v>39</v>
      </c>
      <c r="G373">
        <v>9</v>
      </c>
      <c r="H373" t="s">
        <v>315</v>
      </c>
      <c r="I373" t="s">
        <v>316</v>
      </c>
      <c r="J373" t="s">
        <v>42</v>
      </c>
      <c r="K373" t="s">
        <v>317</v>
      </c>
      <c r="L373" t="s">
        <v>185</v>
      </c>
      <c r="M373" t="s">
        <v>101</v>
      </c>
      <c r="N373" t="s">
        <v>294</v>
      </c>
      <c r="O373">
        <v>62</v>
      </c>
      <c r="P373">
        <v>74.400000000000006</v>
      </c>
      <c r="Q373">
        <v>801</v>
      </c>
      <c r="R373">
        <v>0</v>
      </c>
      <c r="S373">
        <v>53.789551140544503</v>
      </c>
      <c r="T373">
        <f t="shared" si="5"/>
        <v>0.537895511405445</v>
      </c>
      <c r="U373" t="s">
        <v>221</v>
      </c>
      <c r="V373" t="s">
        <v>295</v>
      </c>
    </row>
    <row r="374" spans="1:22" x14ac:dyDescent="0.25">
      <c r="A374">
        <v>373</v>
      </c>
      <c r="B374" t="s">
        <v>217</v>
      </c>
      <c r="C374" s="2">
        <v>43328</v>
      </c>
      <c r="D374" t="s">
        <v>37</v>
      </c>
      <c r="F374" t="s">
        <v>39</v>
      </c>
      <c r="G374">
        <v>9</v>
      </c>
      <c r="H374" t="s">
        <v>318</v>
      </c>
      <c r="I374" t="s">
        <v>319</v>
      </c>
      <c r="J374" t="s">
        <v>109</v>
      </c>
      <c r="K374" t="s">
        <v>320</v>
      </c>
      <c r="L374" t="s">
        <v>185</v>
      </c>
      <c r="M374" t="s">
        <v>101</v>
      </c>
      <c r="N374" t="s">
        <v>294</v>
      </c>
      <c r="O374">
        <v>72</v>
      </c>
      <c r="P374">
        <v>51.479289940828401</v>
      </c>
      <c r="Q374">
        <v>737</v>
      </c>
      <c r="R374">
        <v>0</v>
      </c>
      <c r="S374">
        <v>52.3961661341853</v>
      </c>
      <c r="T374">
        <f t="shared" si="5"/>
        <v>0.52396166134185296</v>
      </c>
      <c r="U374" t="s">
        <v>221</v>
      </c>
      <c r="V374" t="s">
        <v>295</v>
      </c>
    </row>
    <row r="375" spans="1:22" x14ac:dyDescent="0.25">
      <c r="A375">
        <v>374</v>
      </c>
      <c r="B375" t="s">
        <v>217</v>
      </c>
      <c r="C375" s="2">
        <v>43328</v>
      </c>
      <c r="D375" t="s">
        <v>37</v>
      </c>
      <c r="F375" t="s">
        <v>39</v>
      </c>
      <c r="G375">
        <v>9</v>
      </c>
      <c r="H375" t="s">
        <v>321</v>
      </c>
      <c r="I375" t="s">
        <v>322</v>
      </c>
      <c r="J375" t="s">
        <v>42</v>
      </c>
      <c r="K375" t="s">
        <v>323</v>
      </c>
      <c r="L375" t="s">
        <v>185</v>
      </c>
      <c r="M375" t="s">
        <v>101</v>
      </c>
      <c r="N375" t="s">
        <v>294</v>
      </c>
      <c r="O375">
        <v>46</v>
      </c>
      <c r="P375">
        <v>48.962655601659698</v>
      </c>
      <c r="Q375">
        <v>684.3</v>
      </c>
      <c r="R375">
        <v>0</v>
      </c>
      <c r="S375">
        <v>48.760330578512402</v>
      </c>
      <c r="T375">
        <f t="shared" si="5"/>
        <v>0.48760330578512401</v>
      </c>
      <c r="U375" t="s">
        <v>221</v>
      </c>
      <c r="V375" t="s">
        <v>295</v>
      </c>
    </row>
    <row r="376" spans="1:22" x14ac:dyDescent="0.25">
      <c r="A376">
        <v>375</v>
      </c>
      <c r="B376" t="s">
        <v>217</v>
      </c>
      <c r="C376" s="2">
        <v>43335</v>
      </c>
      <c r="D376" t="s">
        <v>37</v>
      </c>
      <c r="F376" t="s">
        <v>39</v>
      </c>
      <c r="G376">
        <v>10</v>
      </c>
      <c r="H376" t="s">
        <v>218</v>
      </c>
      <c r="I376" t="s">
        <v>219</v>
      </c>
      <c r="J376" t="s">
        <v>42</v>
      </c>
      <c r="K376" t="s">
        <v>220</v>
      </c>
      <c r="L376" t="s">
        <v>44</v>
      </c>
      <c r="M376" t="s">
        <v>45</v>
      </c>
      <c r="N376" t="s">
        <v>46</v>
      </c>
      <c r="O376">
        <v>17</v>
      </c>
      <c r="P376">
        <v>78.160919540229898</v>
      </c>
      <c r="Q376">
        <v>720.5</v>
      </c>
      <c r="R376">
        <v>0</v>
      </c>
      <c r="S376">
        <v>50.385604113110602</v>
      </c>
      <c r="T376">
        <f t="shared" si="5"/>
        <v>0.50385604113110605</v>
      </c>
      <c r="U376" t="s">
        <v>221</v>
      </c>
      <c r="V376" t="s">
        <v>48</v>
      </c>
    </row>
    <row r="377" spans="1:22" x14ac:dyDescent="0.25">
      <c r="A377">
        <v>376</v>
      </c>
      <c r="B377" t="s">
        <v>217</v>
      </c>
      <c r="C377" s="2">
        <v>43335</v>
      </c>
      <c r="D377" t="s">
        <v>37</v>
      </c>
      <c r="F377" t="s">
        <v>39</v>
      </c>
      <c r="G377">
        <v>10</v>
      </c>
      <c r="H377" t="s">
        <v>222</v>
      </c>
      <c r="I377" t="s">
        <v>223</v>
      </c>
      <c r="J377" t="s">
        <v>42</v>
      </c>
      <c r="K377" t="s">
        <v>224</v>
      </c>
      <c r="L377" t="s">
        <v>225</v>
      </c>
      <c r="M377" t="s">
        <v>45</v>
      </c>
      <c r="N377" t="s">
        <v>46</v>
      </c>
      <c r="O377">
        <v>10</v>
      </c>
      <c r="P377">
        <v>74.468085106383</v>
      </c>
      <c r="Q377">
        <v>779.2</v>
      </c>
      <c r="R377">
        <v>0</v>
      </c>
      <c r="S377">
        <v>39.920159680638697</v>
      </c>
      <c r="T377">
        <f t="shared" si="5"/>
        <v>0.39920159680638695</v>
      </c>
      <c r="U377" t="s">
        <v>221</v>
      </c>
      <c r="V377" t="s">
        <v>48</v>
      </c>
    </row>
    <row r="378" spans="1:22" x14ac:dyDescent="0.25">
      <c r="A378">
        <v>377</v>
      </c>
      <c r="B378" t="s">
        <v>217</v>
      </c>
      <c r="C378" s="2">
        <v>43335</v>
      </c>
      <c r="D378" t="s">
        <v>37</v>
      </c>
      <c r="F378" t="s">
        <v>39</v>
      </c>
      <c r="G378">
        <v>10</v>
      </c>
      <c r="H378" t="s">
        <v>226</v>
      </c>
      <c r="I378" t="s">
        <v>227</v>
      </c>
      <c r="J378" t="s">
        <v>42</v>
      </c>
      <c r="K378" t="s">
        <v>228</v>
      </c>
      <c r="L378" t="s">
        <v>225</v>
      </c>
      <c r="M378" t="s">
        <v>45</v>
      </c>
      <c r="N378" t="s">
        <v>46</v>
      </c>
      <c r="O378">
        <v>29</v>
      </c>
      <c r="P378">
        <v>70.370370370370395</v>
      </c>
      <c r="Q378">
        <v>658</v>
      </c>
      <c r="R378">
        <v>0</v>
      </c>
      <c r="S378">
        <v>60.902255639097802</v>
      </c>
      <c r="T378">
        <f t="shared" si="5"/>
        <v>0.60902255639097802</v>
      </c>
      <c r="U378" t="s">
        <v>221</v>
      </c>
      <c r="V378" t="s">
        <v>48</v>
      </c>
    </row>
    <row r="379" spans="1:22" x14ac:dyDescent="0.25">
      <c r="A379">
        <v>378</v>
      </c>
      <c r="B379" t="s">
        <v>217</v>
      </c>
      <c r="C379" s="2">
        <v>43335</v>
      </c>
      <c r="D379" t="s">
        <v>37</v>
      </c>
      <c r="F379" t="s">
        <v>39</v>
      </c>
      <c r="G379">
        <v>10</v>
      </c>
      <c r="H379" t="s">
        <v>229</v>
      </c>
      <c r="I379" t="s">
        <v>230</v>
      </c>
      <c r="J379" t="s">
        <v>42</v>
      </c>
      <c r="K379" t="s">
        <v>231</v>
      </c>
      <c r="L379" t="s">
        <v>232</v>
      </c>
      <c r="M379" t="s">
        <v>45</v>
      </c>
      <c r="N379" t="s">
        <v>46</v>
      </c>
      <c r="O379">
        <v>99</v>
      </c>
      <c r="P379">
        <v>40</v>
      </c>
      <c r="Q379">
        <v>565.29999999999995</v>
      </c>
      <c r="R379">
        <v>0</v>
      </c>
      <c r="S379">
        <v>53.3333333333333</v>
      </c>
      <c r="T379">
        <f t="shared" si="5"/>
        <v>0.53333333333333299</v>
      </c>
      <c r="U379" t="s">
        <v>221</v>
      </c>
      <c r="V379" t="s">
        <v>48</v>
      </c>
    </row>
    <row r="380" spans="1:22" x14ac:dyDescent="0.25">
      <c r="A380">
        <v>379</v>
      </c>
      <c r="B380" t="s">
        <v>217</v>
      </c>
      <c r="C380" s="2">
        <v>43335</v>
      </c>
      <c r="D380" t="s">
        <v>37</v>
      </c>
      <c r="F380" t="s">
        <v>39</v>
      </c>
      <c r="G380">
        <v>10</v>
      </c>
      <c r="H380" t="s">
        <v>233</v>
      </c>
      <c r="I380" t="s">
        <v>234</v>
      </c>
      <c r="J380" t="s">
        <v>42</v>
      </c>
      <c r="K380" t="s">
        <v>235</v>
      </c>
      <c r="L380" t="s">
        <v>232</v>
      </c>
      <c r="M380" t="s">
        <v>45</v>
      </c>
      <c r="N380" t="s">
        <v>46</v>
      </c>
      <c r="O380">
        <v>31</v>
      </c>
      <c r="P380">
        <v>57.692307692307701</v>
      </c>
      <c r="Q380">
        <v>509.2</v>
      </c>
      <c r="R380">
        <v>1</v>
      </c>
      <c r="S380">
        <v>60.533333333333303</v>
      </c>
      <c r="T380">
        <f t="shared" si="5"/>
        <v>0.60533333333333306</v>
      </c>
      <c r="U380" t="s">
        <v>221</v>
      </c>
      <c r="V380" t="s">
        <v>48</v>
      </c>
    </row>
    <row r="381" spans="1:22" x14ac:dyDescent="0.25">
      <c r="A381">
        <v>380</v>
      </c>
      <c r="B381" t="s">
        <v>217</v>
      </c>
      <c r="C381" s="2">
        <v>43335</v>
      </c>
      <c r="D381" t="s">
        <v>37</v>
      </c>
      <c r="F381" t="s">
        <v>39</v>
      </c>
      <c r="G381">
        <v>10</v>
      </c>
      <c r="H381" t="s">
        <v>236</v>
      </c>
      <c r="I381" t="s">
        <v>237</v>
      </c>
      <c r="J381" t="s">
        <v>42</v>
      </c>
      <c r="K381" t="s">
        <v>238</v>
      </c>
      <c r="L381" t="s">
        <v>239</v>
      </c>
      <c r="M381" t="s">
        <v>45</v>
      </c>
      <c r="N381" t="s">
        <v>46</v>
      </c>
      <c r="O381">
        <v>30</v>
      </c>
      <c r="P381">
        <v>44.117647058823501</v>
      </c>
      <c r="Q381">
        <v>360.5</v>
      </c>
      <c r="R381">
        <v>0</v>
      </c>
      <c r="S381">
        <v>50.642673521850902</v>
      </c>
      <c r="T381">
        <f t="shared" si="5"/>
        <v>0.50642673521850901</v>
      </c>
      <c r="U381" t="s">
        <v>221</v>
      </c>
      <c r="V381" t="s">
        <v>48</v>
      </c>
    </row>
    <row r="382" spans="1:22" x14ac:dyDescent="0.25">
      <c r="A382">
        <v>381</v>
      </c>
      <c r="B382" t="s">
        <v>217</v>
      </c>
      <c r="C382" s="2">
        <v>43335</v>
      </c>
      <c r="D382" t="s">
        <v>37</v>
      </c>
      <c r="F382" t="s">
        <v>39</v>
      </c>
      <c r="G382">
        <v>10</v>
      </c>
      <c r="H382" t="s">
        <v>240</v>
      </c>
      <c r="I382" t="s">
        <v>241</v>
      </c>
      <c r="J382" t="s">
        <v>42</v>
      </c>
      <c r="K382" t="s">
        <v>242</v>
      </c>
      <c r="L382" t="s">
        <v>111</v>
      </c>
      <c r="M382" t="s">
        <v>45</v>
      </c>
      <c r="N382" t="s">
        <v>46</v>
      </c>
      <c r="O382">
        <v>24</v>
      </c>
      <c r="P382">
        <v>58.3333333333333</v>
      </c>
      <c r="Q382">
        <v>699.2</v>
      </c>
      <c r="R382">
        <v>0</v>
      </c>
      <c r="S382">
        <v>43.021766965429002</v>
      </c>
      <c r="T382">
        <f t="shared" si="5"/>
        <v>0.43021766965429004</v>
      </c>
      <c r="U382" t="s">
        <v>221</v>
      </c>
      <c r="V382" t="s">
        <v>48</v>
      </c>
    </row>
    <row r="383" spans="1:22" x14ac:dyDescent="0.25">
      <c r="A383">
        <v>382</v>
      </c>
      <c r="B383" t="s">
        <v>217</v>
      </c>
      <c r="C383" s="2">
        <v>43335</v>
      </c>
      <c r="D383" t="s">
        <v>37</v>
      </c>
      <c r="F383" t="s">
        <v>39</v>
      </c>
      <c r="G383">
        <v>10</v>
      </c>
      <c r="H383" t="s">
        <v>243</v>
      </c>
      <c r="I383" t="s">
        <v>244</v>
      </c>
      <c r="J383" t="s">
        <v>42</v>
      </c>
      <c r="K383" t="s">
        <v>245</v>
      </c>
      <c r="L383" t="s">
        <v>246</v>
      </c>
      <c r="M383" t="s">
        <v>45</v>
      </c>
      <c r="N383" t="s">
        <v>46</v>
      </c>
      <c r="O383">
        <v>57</v>
      </c>
      <c r="P383">
        <v>58.260869565217398</v>
      </c>
      <c r="Q383">
        <v>759.7</v>
      </c>
      <c r="R383">
        <v>0</v>
      </c>
      <c r="S383">
        <v>39.630681818181799</v>
      </c>
      <c r="T383">
        <f t="shared" si="5"/>
        <v>0.39630681818181801</v>
      </c>
      <c r="U383" t="s">
        <v>221</v>
      </c>
      <c r="V383" t="s">
        <v>48</v>
      </c>
    </row>
    <row r="384" spans="1:22" x14ac:dyDescent="0.25">
      <c r="A384">
        <v>383</v>
      </c>
      <c r="B384" t="s">
        <v>217</v>
      </c>
      <c r="C384" s="2">
        <v>43335</v>
      </c>
      <c r="D384" t="s">
        <v>37</v>
      </c>
      <c r="F384" t="s">
        <v>39</v>
      </c>
      <c r="G384">
        <v>10</v>
      </c>
      <c r="H384" t="s">
        <v>247</v>
      </c>
      <c r="I384" t="s">
        <v>248</v>
      </c>
      <c r="J384" t="s">
        <v>42</v>
      </c>
      <c r="K384" t="s">
        <v>249</v>
      </c>
      <c r="L384" t="s">
        <v>250</v>
      </c>
      <c r="M384" t="s">
        <v>45</v>
      </c>
      <c r="N384" t="s">
        <v>46</v>
      </c>
      <c r="O384">
        <v>54</v>
      </c>
      <c r="P384">
        <v>56.25</v>
      </c>
      <c r="Q384">
        <v>493.4</v>
      </c>
      <c r="R384">
        <v>0</v>
      </c>
      <c r="S384">
        <v>50.595238095238102</v>
      </c>
      <c r="T384">
        <f t="shared" si="5"/>
        <v>0.50595238095238104</v>
      </c>
      <c r="U384" t="s">
        <v>221</v>
      </c>
      <c r="V384" t="s">
        <v>48</v>
      </c>
    </row>
    <row r="385" spans="1:22" x14ac:dyDescent="0.25">
      <c r="A385">
        <v>384</v>
      </c>
      <c r="B385" t="s">
        <v>217</v>
      </c>
      <c r="C385" s="2">
        <v>43335</v>
      </c>
      <c r="D385" t="s">
        <v>37</v>
      </c>
      <c r="F385" t="s">
        <v>39</v>
      </c>
      <c r="G385">
        <v>9</v>
      </c>
      <c r="H385" t="s">
        <v>251</v>
      </c>
      <c r="I385" t="s">
        <v>252</v>
      </c>
      <c r="J385" t="s">
        <v>42</v>
      </c>
      <c r="K385" t="s">
        <v>253</v>
      </c>
      <c r="L385" t="s">
        <v>59</v>
      </c>
      <c r="M385" t="s">
        <v>45</v>
      </c>
      <c r="N385" t="s">
        <v>46</v>
      </c>
      <c r="O385">
        <v>120</v>
      </c>
      <c r="P385">
        <v>45</v>
      </c>
      <c r="Q385">
        <v>765.9</v>
      </c>
      <c r="R385">
        <v>1</v>
      </c>
      <c r="S385">
        <v>60.328638497652598</v>
      </c>
      <c r="T385">
        <f t="shared" si="5"/>
        <v>0.60328638497652598</v>
      </c>
      <c r="U385" t="s">
        <v>221</v>
      </c>
      <c r="V385" t="s">
        <v>48</v>
      </c>
    </row>
    <row r="386" spans="1:22" x14ac:dyDescent="0.25">
      <c r="A386">
        <v>385</v>
      </c>
      <c r="B386" t="s">
        <v>217</v>
      </c>
      <c r="C386" s="2">
        <v>43335</v>
      </c>
      <c r="D386" t="s">
        <v>37</v>
      </c>
      <c r="F386" t="s">
        <v>39</v>
      </c>
      <c r="G386">
        <v>10</v>
      </c>
      <c r="H386" t="s">
        <v>254</v>
      </c>
      <c r="I386" t="s">
        <v>255</v>
      </c>
      <c r="J386" t="s">
        <v>42</v>
      </c>
      <c r="K386" t="s">
        <v>256</v>
      </c>
      <c r="L386" t="s">
        <v>177</v>
      </c>
      <c r="M386" t="s">
        <v>101</v>
      </c>
      <c r="N386" t="s">
        <v>257</v>
      </c>
      <c r="O386">
        <v>120</v>
      </c>
      <c r="P386">
        <v>36.813186813186803</v>
      </c>
      <c r="Q386">
        <v>692.1</v>
      </c>
      <c r="R386">
        <v>1</v>
      </c>
      <c r="S386">
        <v>59.099616858237603</v>
      </c>
      <c r="T386">
        <f t="shared" si="5"/>
        <v>0.59099616858237602</v>
      </c>
      <c r="U386" t="s">
        <v>221</v>
      </c>
      <c r="V386" t="s">
        <v>48</v>
      </c>
    </row>
    <row r="387" spans="1:22" x14ac:dyDescent="0.25">
      <c r="A387">
        <v>386</v>
      </c>
      <c r="B387" t="s">
        <v>217</v>
      </c>
      <c r="C387" s="2">
        <v>43335</v>
      </c>
      <c r="D387" t="s">
        <v>37</v>
      </c>
      <c r="F387" t="s">
        <v>39</v>
      </c>
      <c r="G387">
        <v>10</v>
      </c>
      <c r="H387" t="s">
        <v>258</v>
      </c>
      <c r="I387" t="s">
        <v>259</v>
      </c>
      <c r="J387" t="s">
        <v>42</v>
      </c>
      <c r="K387" t="s">
        <v>260</v>
      </c>
      <c r="L387" t="s">
        <v>261</v>
      </c>
      <c r="M387" t="s">
        <v>45</v>
      </c>
      <c r="N387" t="s">
        <v>257</v>
      </c>
      <c r="O387">
        <v>58</v>
      </c>
      <c r="P387">
        <v>82.775119617224902</v>
      </c>
      <c r="Q387">
        <v>786.7</v>
      </c>
      <c r="R387">
        <v>0</v>
      </c>
      <c r="S387">
        <v>55.2631578947368</v>
      </c>
      <c r="T387">
        <f t="shared" ref="T387:T450" si="6">S387/100</f>
        <v>0.55263157894736803</v>
      </c>
      <c r="U387" t="s">
        <v>221</v>
      </c>
      <c r="V387" t="s">
        <v>48</v>
      </c>
    </row>
    <row r="388" spans="1:22" x14ac:dyDescent="0.25">
      <c r="A388">
        <v>387</v>
      </c>
      <c r="B388" t="s">
        <v>217</v>
      </c>
      <c r="C388" s="2">
        <v>43335</v>
      </c>
      <c r="D388" t="s">
        <v>37</v>
      </c>
      <c r="F388" t="s">
        <v>39</v>
      </c>
      <c r="G388">
        <v>10</v>
      </c>
      <c r="H388" t="s">
        <v>262</v>
      </c>
      <c r="I388" t="s">
        <v>263</v>
      </c>
      <c r="J388" t="s">
        <v>42</v>
      </c>
      <c r="K388" t="s">
        <v>264</v>
      </c>
      <c r="L388" t="s">
        <v>111</v>
      </c>
      <c r="M388" t="s">
        <v>101</v>
      </c>
      <c r="N388" t="s">
        <v>257</v>
      </c>
      <c r="O388">
        <v>120</v>
      </c>
      <c r="P388">
        <v>63.18407960199</v>
      </c>
      <c r="Q388">
        <v>631.70000000000005</v>
      </c>
      <c r="R388">
        <v>1</v>
      </c>
      <c r="S388">
        <v>53.882801333968601</v>
      </c>
      <c r="T388">
        <f t="shared" si="6"/>
        <v>0.538828013339686</v>
      </c>
      <c r="U388" t="s">
        <v>221</v>
      </c>
      <c r="V388" t="s">
        <v>48</v>
      </c>
    </row>
    <row r="389" spans="1:22" x14ac:dyDescent="0.25">
      <c r="A389">
        <v>388</v>
      </c>
      <c r="B389" t="s">
        <v>217</v>
      </c>
      <c r="C389" s="2">
        <v>43335</v>
      </c>
      <c r="D389" t="s">
        <v>37</v>
      </c>
      <c r="F389" t="s">
        <v>39</v>
      </c>
      <c r="G389">
        <v>10</v>
      </c>
      <c r="H389" t="s">
        <v>265</v>
      </c>
      <c r="I389" t="s">
        <v>266</v>
      </c>
      <c r="J389" t="s">
        <v>42</v>
      </c>
      <c r="K389" t="s">
        <v>267</v>
      </c>
      <c r="L389" t="s">
        <v>268</v>
      </c>
      <c r="M389" t="s">
        <v>45</v>
      </c>
      <c r="N389" t="s">
        <v>257</v>
      </c>
      <c r="O389">
        <v>97</v>
      </c>
      <c r="P389">
        <v>40.384615384615401</v>
      </c>
      <c r="Q389">
        <v>638.5</v>
      </c>
      <c r="R389">
        <v>1</v>
      </c>
      <c r="S389">
        <v>51.954397394136798</v>
      </c>
      <c r="T389">
        <f t="shared" si="6"/>
        <v>0.51954397394136798</v>
      </c>
      <c r="U389" t="s">
        <v>221</v>
      </c>
      <c r="V389" t="s">
        <v>48</v>
      </c>
    </row>
    <row r="390" spans="1:22" x14ac:dyDescent="0.25">
      <c r="A390">
        <v>389</v>
      </c>
      <c r="B390" t="s">
        <v>217</v>
      </c>
      <c r="C390" s="2">
        <v>43335</v>
      </c>
      <c r="D390" t="s">
        <v>37</v>
      </c>
      <c r="F390" t="s">
        <v>39</v>
      </c>
      <c r="G390">
        <v>10</v>
      </c>
      <c r="H390" t="s">
        <v>269</v>
      </c>
      <c r="I390" t="s">
        <v>270</v>
      </c>
      <c r="J390" t="s">
        <v>42</v>
      </c>
      <c r="K390" t="s">
        <v>271</v>
      </c>
      <c r="L390" t="s">
        <v>111</v>
      </c>
      <c r="M390" t="s">
        <v>45</v>
      </c>
      <c r="N390" t="s">
        <v>257</v>
      </c>
      <c r="O390">
        <v>120</v>
      </c>
      <c r="P390">
        <v>20.437956204379599</v>
      </c>
      <c r="Q390">
        <v>391.9</v>
      </c>
      <c r="R390">
        <v>1</v>
      </c>
      <c r="S390">
        <v>80.682764363030799</v>
      </c>
      <c r="T390">
        <f t="shared" si="6"/>
        <v>0.80682764363030801</v>
      </c>
      <c r="U390" t="s">
        <v>221</v>
      </c>
      <c r="V390" t="s">
        <v>48</v>
      </c>
    </row>
    <row r="391" spans="1:22" x14ac:dyDescent="0.25">
      <c r="A391">
        <v>390</v>
      </c>
      <c r="B391" t="s">
        <v>217</v>
      </c>
      <c r="C391" s="2">
        <v>43335</v>
      </c>
      <c r="D391" t="s">
        <v>37</v>
      </c>
      <c r="F391" t="s">
        <v>39</v>
      </c>
      <c r="G391">
        <v>10</v>
      </c>
      <c r="H391" t="s">
        <v>272</v>
      </c>
      <c r="I391" t="s">
        <v>273</v>
      </c>
      <c r="J391" t="s">
        <v>42</v>
      </c>
      <c r="K391" t="s">
        <v>274</v>
      </c>
      <c r="L391" t="s">
        <v>275</v>
      </c>
      <c r="M391" t="s">
        <v>101</v>
      </c>
      <c r="N391" t="s">
        <v>257</v>
      </c>
      <c r="O391">
        <v>81</v>
      </c>
      <c r="P391">
        <v>29.5138888888889</v>
      </c>
      <c r="Q391">
        <v>555.70000000000005</v>
      </c>
      <c r="R391">
        <v>1</v>
      </c>
      <c r="S391">
        <v>49.185043144774703</v>
      </c>
      <c r="T391">
        <f t="shared" si="6"/>
        <v>0.49185043144774704</v>
      </c>
      <c r="U391" t="s">
        <v>221</v>
      </c>
      <c r="V391" t="s">
        <v>48</v>
      </c>
    </row>
    <row r="392" spans="1:22" x14ac:dyDescent="0.25">
      <c r="A392">
        <v>391</v>
      </c>
      <c r="B392" t="s">
        <v>217</v>
      </c>
      <c r="C392" s="2">
        <v>43335</v>
      </c>
      <c r="D392" t="s">
        <v>37</v>
      </c>
      <c r="F392" t="s">
        <v>39</v>
      </c>
      <c r="G392">
        <v>10</v>
      </c>
      <c r="H392" t="s">
        <v>276</v>
      </c>
      <c r="I392" t="s">
        <v>277</v>
      </c>
      <c r="J392" t="s">
        <v>42</v>
      </c>
      <c r="K392" t="s">
        <v>278</v>
      </c>
      <c r="L392" t="s">
        <v>177</v>
      </c>
      <c r="M392" t="s">
        <v>101</v>
      </c>
      <c r="N392" t="s">
        <v>257</v>
      </c>
      <c r="O392">
        <v>120</v>
      </c>
      <c r="P392">
        <v>71.6577540106952</v>
      </c>
      <c r="Q392">
        <v>762.3</v>
      </c>
      <c r="R392">
        <v>1</v>
      </c>
      <c r="S392">
        <v>48.179705654531404</v>
      </c>
      <c r="T392">
        <f t="shared" si="6"/>
        <v>0.48179705654531402</v>
      </c>
      <c r="U392" t="s">
        <v>221</v>
      </c>
      <c r="V392" t="s">
        <v>48</v>
      </c>
    </row>
    <row r="393" spans="1:22" x14ac:dyDescent="0.25">
      <c r="A393">
        <v>392</v>
      </c>
      <c r="B393" t="s">
        <v>217</v>
      </c>
      <c r="C393" s="2">
        <v>43335</v>
      </c>
      <c r="D393" t="s">
        <v>37</v>
      </c>
      <c r="F393" t="s">
        <v>39</v>
      </c>
      <c r="G393">
        <v>10</v>
      </c>
      <c r="H393" t="s">
        <v>279</v>
      </c>
      <c r="I393" t="s">
        <v>280</v>
      </c>
      <c r="J393" t="s">
        <v>42</v>
      </c>
      <c r="K393" t="s">
        <v>281</v>
      </c>
      <c r="L393" t="s">
        <v>177</v>
      </c>
      <c r="M393" t="s">
        <v>45</v>
      </c>
      <c r="N393" t="s">
        <v>257</v>
      </c>
      <c r="O393">
        <v>120</v>
      </c>
      <c r="P393">
        <v>23.8095238095238</v>
      </c>
      <c r="Q393">
        <v>632.20000000000005</v>
      </c>
      <c r="R393">
        <v>1</v>
      </c>
      <c r="S393">
        <v>56.78391959799</v>
      </c>
      <c r="T393">
        <f t="shared" si="6"/>
        <v>0.56783919597989996</v>
      </c>
      <c r="U393" t="s">
        <v>221</v>
      </c>
      <c r="V393" t="s">
        <v>48</v>
      </c>
    </row>
    <row r="394" spans="1:22" x14ac:dyDescent="0.25">
      <c r="A394">
        <v>393</v>
      </c>
      <c r="B394" t="s">
        <v>217</v>
      </c>
      <c r="C394" s="2">
        <v>43335</v>
      </c>
      <c r="D394" t="s">
        <v>37</v>
      </c>
      <c r="F394" t="s">
        <v>39</v>
      </c>
      <c r="G394">
        <v>10</v>
      </c>
      <c r="H394" t="s">
        <v>282</v>
      </c>
      <c r="I394" t="s">
        <v>283</v>
      </c>
      <c r="J394" t="s">
        <v>42</v>
      </c>
      <c r="K394" t="s">
        <v>284</v>
      </c>
      <c r="L394" t="s">
        <v>285</v>
      </c>
      <c r="M394" t="s">
        <v>101</v>
      </c>
      <c r="N394" t="s">
        <v>257</v>
      </c>
      <c r="O394">
        <v>120</v>
      </c>
      <c r="P394">
        <v>15.2173913043478</v>
      </c>
      <c r="Q394">
        <v>481.5</v>
      </c>
      <c r="R394">
        <v>1</v>
      </c>
      <c r="S394">
        <v>48.753894080996901</v>
      </c>
      <c r="T394">
        <f t="shared" si="6"/>
        <v>0.48753894080996901</v>
      </c>
      <c r="U394" t="s">
        <v>221</v>
      </c>
      <c r="V394" t="s">
        <v>48</v>
      </c>
    </row>
    <row r="395" spans="1:22" x14ac:dyDescent="0.25">
      <c r="A395">
        <v>394</v>
      </c>
      <c r="B395" t="s">
        <v>217</v>
      </c>
      <c r="C395" s="2">
        <v>43335</v>
      </c>
      <c r="D395" t="s">
        <v>37</v>
      </c>
      <c r="F395" t="s">
        <v>39</v>
      </c>
      <c r="G395">
        <v>10</v>
      </c>
      <c r="H395" t="s">
        <v>286</v>
      </c>
      <c r="I395" t="s">
        <v>287</v>
      </c>
      <c r="J395" t="s">
        <v>42</v>
      </c>
      <c r="K395" t="s">
        <v>288</v>
      </c>
      <c r="L395" t="s">
        <v>289</v>
      </c>
      <c r="M395" t="s">
        <v>45</v>
      </c>
      <c r="N395" t="s">
        <v>257</v>
      </c>
      <c r="O395">
        <v>65</v>
      </c>
      <c r="P395">
        <v>55</v>
      </c>
      <c r="Q395">
        <v>791.6</v>
      </c>
      <c r="R395">
        <v>0</v>
      </c>
      <c r="S395">
        <v>51.475634866163297</v>
      </c>
      <c r="T395">
        <f t="shared" si="6"/>
        <v>0.514756348661633</v>
      </c>
      <c r="U395" t="s">
        <v>221</v>
      </c>
      <c r="V395" t="s">
        <v>48</v>
      </c>
    </row>
    <row r="396" spans="1:22" x14ac:dyDescent="0.25">
      <c r="A396">
        <v>395</v>
      </c>
      <c r="B396" t="s">
        <v>217</v>
      </c>
      <c r="C396" s="2">
        <v>43335</v>
      </c>
      <c r="D396" t="s">
        <v>37</v>
      </c>
      <c r="F396" t="s">
        <v>39</v>
      </c>
      <c r="G396">
        <v>10</v>
      </c>
      <c r="H396" t="s">
        <v>290</v>
      </c>
      <c r="I396" t="s">
        <v>291</v>
      </c>
      <c r="J396" t="s">
        <v>42</v>
      </c>
      <c r="K396" t="s">
        <v>292</v>
      </c>
      <c r="L396" t="s">
        <v>293</v>
      </c>
      <c r="M396" t="s">
        <v>101</v>
      </c>
      <c r="N396" t="s">
        <v>294</v>
      </c>
      <c r="O396">
        <v>107</v>
      </c>
      <c r="P396">
        <v>72.950819672131104</v>
      </c>
      <c r="Q396">
        <v>791.4</v>
      </c>
      <c r="R396">
        <v>0</v>
      </c>
      <c r="S396">
        <v>51.3457556935818</v>
      </c>
      <c r="T396">
        <f t="shared" si="6"/>
        <v>0.51345755693581796</v>
      </c>
      <c r="U396" t="s">
        <v>221</v>
      </c>
      <c r="V396" t="s">
        <v>295</v>
      </c>
    </row>
    <row r="397" spans="1:22" x14ac:dyDescent="0.25">
      <c r="A397">
        <v>396</v>
      </c>
      <c r="B397" t="s">
        <v>217</v>
      </c>
      <c r="C397" s="2">
        <v>43335</v>
      </c>
      <c r="D397" t="s">
        <v>37</v>
      </c>
      <c r="F397" t="s">
        <v>39</v>
      </c>
      <c r="G397">
        <v>10</v>
      </c>
      <c r="H397" t="s">
        <v>296</v>
      </c>
      <c r="I397" t="s">
        <v>297</v>
      </c>
      <c r="J397" t="s">
        <v>42</v>
      </c>
      <c r="K397" t="s">
        <v>298</v>
      </c>
      <c r="L397" t="s">
        <v>293</v>
      </c>
      <c r="M397" t="s">
        <v>101</v>
      </c>
      <c r="N397" t="s">
        <v>294</v>
      </c>
      <c r="O397">
        <v>16</v>
      </c>
      <c r="P397">
        <v>36.639118457300299</v>
      </c>
      <c r="Q397">
        <v>520.9</v>
      </c>
      <c r="R397">
        <v>0</v>
      </c>
      <c r="S397">
        <v>63.155668358714102</v>
      </c>
      <c r="T397">
        <f t="shared" si="6"/>
        <v>0.63155668358714101</v>
      </c>
      <c r="U397" t="s">
        <v>221</v>
      </c>
      <c r="V397" t="s">
        <v>295</v>
      </c>
    </row>
    <row r="398" spans="1:22" x14ac:dyDescent="0.25">
      <c r="A398">
        <v>397</v>
      </c>
      <c r="B398" t="s">
        <v>217</v>
      </c>
      <c r="C398" s="2">
        <v>43335</v>
      </c>
      <c r="D398" t="s">
        <v>37</v>
      </c>
      <c r="F398" t="s">
        <v>39</v>
      </c>
      <c r="G398">
        <v>10</v>
      </c>
      <c r="H398" t="s">
        <v>299</v>
      </c>
      <c r="I398" t="s">
        <v>300</v>
      </c>
      <c r="J398" t="s">
        <v>42</v>
      </c>
      <c r="K398" t="s">
        <v>301</v>
      </c>
      <c r="L398" t="s">
        <v>302</v>
      </c>
      <c r="M398" t="s">
        <v>45</v>
      </c>
      <c r="N398" t="s">
        <v>294</v>
      </c>
      <c r="O398">
        <v>53</v>
      </c>
      <c r="P398">
        <v>47.524752475247503</v>
      </c>
      <c r="Q398">
        <v>637.6</v>
      </c>
      <c r="R398">
        <v>0</v>
      </c>
      <c r="S398">
        <v>68.692206076618206</v>
      </c>
      <c r="T398">
        <f t="shared" si="6"/>
        <v>0.68692206076618201</v>
      </c>
      <c r="U398" t="s">
        <v>221</v>
      </c>
      <c r="V398" t="s">
        <v>295</v>
      </c>
    </row>
    <row r="399" spans="1:22" x14ac:dyDescent="0.25">
      <c r="A399">
        <v>398</v>
      </c>
      <c r="B399" t="s">
        <v>217</v>
      </c>
      <c r="C399" s="2">
        <v>43335</v>
      </c>
      <c r="D399" t="s">
        <v>37</v>
      </c>
      <c r="F399" t="s">
        <v>39</v>
      </c>
      <c r="G399">
        <v>10</v>
      </c>
      <c r="H399" t="s">
        <v>303</v>
      </c>
      <c r="I399" t="s">
        <v>304</v>
      </c>
      <c r="J399" t="s">
        <v>42</v>
      </c>
      <c r="K399" t="s">
        <v>305</v>
      </c>
      <c r="L399" t="s">
        <v>250</v>
      </c>
      <c r="M399" t="s">
        <v>101</v>
      </c>
      <c r="N399" t="s">
        <v>294</v>
      </c>
      <c r="O399">
        <v>100</v>
      </c>
      <c r="P399">
        <v>47.1264367816092</v>
      </c>
      <c r="Q399">
        <v>654.1</v>
      </c>
      <c r="R399">
        <v>0</v>
      </c>
      <c r="S399">
        <v>62.0064034151548</v>
      </c>
      <c r="T399">
        <f t="shared" si="6"/>
        <v>0.62006403415154798</v>
      </c>
      <c r="U399" t="s">
        <v>221</v>
      </c>
      <c r="V399" t="s">
        <v>295</v>
      </c>
    </row>
    <row r="400" spans="1:22" x14ac:dyDescent="0.25">
      <c r="A400">
        <v>399</v>
      </c>
      <c r="B400" t="s">
        <v>217</v>
      </c>
      <c r="C400" s="2">
        <v>43335</v>
      </c>
      <c r="D400" t="s">
        <v>37</v>
      </c>
      <c r="F400" t="s">
        <v>39</v>
      </c>
      <c r="G400">
        <v>10</v>
      </c>
      <c r="H400" t="s">
        <v>306</v>
      </c>
      <c r="I400" t="s">
        <v>307</v>
      </c>
      <c r="J400" t="s">
        <v>42</v>
      </c>
      <c r="K400" t="s">
        <v>308</v>
      </c>
      <c r="L400" t="s">
        <v>250</v>
      </c>
      <c r="M400" t="s">
        <v>101</v>
      </c>
      <c r="N400" t="s">
        <v>294</v>
      </c>
      <c r="O400">
        <v>56</v>
      </c>
      <c r="P400">
        <v>62.2340425531915</v>
      </c>
      <c r="Q400">
        <v>801</v>
      </c>
      <c r="R400">
        <v>0</v>
      </c>
      <c r="S400">
        <v>53.555219364599097</v>
      </c>
      <c r="T400">
        <f t="shared" si="6"/>
        <v>0.53555219364599094</v>
      </c>
      <c r="U400" t="s">
        <v>221</v>
      </c>
      <c r="V400" t="s">
        <v>295</v>
      </c>
    </row>
    <row r="401" spans="1:22" x14ac:dyDescent="0.25">
      <c r="A401">
        <v>400</v>
      </c>
      <c r="B401" t="s">
        <v>217</v>
      </c>
      <c r="C401" s="2">
        <v>43335</v>
      </c>
      <c r="D401" t="s">
        <v>37</v>
      </c>
      <c r="F401" t="s">
        <v>39</v>
      </c>
      <c r="G401">
        <v>10</v>
      </c>
      <c r="H401" t="s">
        <v>309</v>
      </c>
      <c r="I401" t="s">
        <v>310</v>
      </c>
      <c r="J401" t="s">
        <v>42</v>
      </c>
      <c r="K401" t="s">
        <v>311</v>
      </c>
      <c r="L401" t="s">
        <v>250</v>
      </c>
      <c r="M401" t="s">
        <v>101</v>
      </c>
      <c r="N401" t="s">
        <v>294</v>
      </c>
      <c r="O401">
        <v>120</v>
      </c>
      <c r="P401">
        <v>76</v>
      </c>
      <c r="Q401">
        <v>747.9</v>
      </c>
      <c r="R401">
        <v>1</v>
      </c>
      <c r="S401">
        <v>62.276785714285701</v>
      </c>
      <c r="T401">
        <f t="shared" si="6"/>
        <v>0.62276785714285698</v>
      </c>
      <c r="U401" t="s">
        <v>221</v>
      </c>
      <c r="V401" t="s">
        <v>295</v>
      </c>
    </row>
    <row r="402" spans="1:22" x14ac:dyDescent="0.25">
      <c r="A402">
        <v>401</v>
      </c>
      <c r="B402" t="s">
        <v>217</v>
      </c>
      <c r="C402" s="2">
        <v>43335</v>
      </c>
      <c r="D402" t="s">
        <v>37</v>
      </c>
      <c r="F402" t="s">
        <v>39</v>
      </c>
      <c r="G402">
        <v>10</v>
      </c>
      <c r="H402" t="s">
        <v>312</v>
      </c>
      <c r="I402" t="s">
        <v>313</v>
      </c>
      <c r="J402" t="s">
        <v>42</v>
      </c>
      <c r="K402" t="s">
        <v>314</v>
      </c>
      <c r="L402" t="s">
        <v>250</v>
      </c>
      <c r="M402" t="s">
        <v>101</v>
      </c>
      <c r="N402" t="s">
        <v>294</v>
      </c>
      <c r="O402">
        <v>55</v>
      </c>
      <c r="P402">
        <v>22.8571428571429</v>
      </c>
      <c r="Q402">
        <v>712.8</v>
      </c>
      <c r="R402">
        <v>0</v>
      </c>
      <c r="S402">
        <v>47.298020331728203</v>
      </c>
      <c r="T402">
        <f t="shared" si="6"/>
        <v>0.47298020331728202</v>
      </c>
      <c r="U402" t="s">
        <v>221</v>
      </c>
      <c r="V402" t="s">
        <v>295</v>
      </c>
    </row>
    <row r="403" spans="1:22" x14ac:dyDescent="0.25">
      <c r="A403">
        <v>402</v>
      </c>
      <c r="B403" t="s">
        <v>217</v>
      </c>
      <c r="C403" s="2">
        <v>43335</v>
      </c>
      <c r="D403" t="s">
        <v>37</v>
      </c>
      <c r="F403" t="s">
        <v>39</v>
      </c>
      <c r="G403">
        <v>10</v>
      </c>
      <c r="H403" t="s">
        <v>315</v>
      </c>
      <c r="I403" t="s">
        <v>316</v>
      </c>
      <c r="J403" t="s">
        <v>42</v>
      </c>
      <c r="K403" t="s">
        <v>317</v>
      </c>
      <c r="L403" t="s">
        <v>185</v>
      </c>
      <c r="M403" t="s">
        <v>101</v>
      </c>
      <c r="N403" t="s">
        <v>294</v>
      </c>
      <c r="O403">
        <v>62</v>
      </c>
      <c r="P403">
        <v>48.630136986301402</v>
      </c>
      <c r="Q403">
        <v>702.9</v>
      </c>
      <c r="R403">
        <v>0</v>
      </c>
      <c r="S403">
        <v>48.337028824833702</v>
      </c>
      <c r="T403">
        <f t="shared" si="6"/>
        <v>0.483370288248337</v>
      </c>
      <c r="U403" t="s">
        <v>221</v>
      </c>
      <c r="V403" t="s">
        <v>295</v>
      </c>
    </row>
    <row r="404" spans="1:22" x14ac:dyDescent="0.25">
      <c r="A404">
        <v>403</v>
      </c>
      <c r="B404" t="s">
        <v>217</v>
      </c>
      <c r="C404" s="2">
        <v>43335</v>
      </c>
      <c r="D404" t="s">
        <v>37</v>
      </c>
      <c r="F404" t="s">
        <v>39</v>
      </c>
      <c r="G404">
        <v>10</v>
      </c>
      <c r="H404" t="s">
        <v>318</v>
      </c>
      <c r="I404" t="s">
        <v>319</v>
      </c>
      <c r="J404" t="s">
        <v>109</v>
      </c>
      <c r="K404" t="s">
        <v>320</v>
      </c>
      <c r="L404" t="s">
        <v>185</v>
      </c>
      <c r="M404" t="s">
        <v>101</v>
      </c>
      <c r="N404" t="s">
        <v>294</v>
      </c>
      <c r="O404">
        <v>115</v>
      </c>
      <c r="P404">
        <v>69.811320754717002</v>
      </c>
      <c r="Q404">
        <v>637.70000000000005</v>
      </c>
      <c r="R404">
        <v>0</v>
      </c>
      <c r="S404">
        <v>46.130030959752297</v>
      </c>
      <c r="T404">
        <f t="shared" si="6"/>
        <v>0.461300309597523</v>
      </c>
      <c r="U404" t="s">
        <v>221</v>
      </c>
      <c r="V404" t="s">
        <v>295</v>
      </c>
    </row>
    <row r="405" spans="1:22" x14ac:dyDescent="0.25">
      <c r="A405">
        <v>404</v>
      </c>
      <c r="B405" t="s">
        <v>217</v>
      </c>
      <c r="C405" s="2">
        <v>43335</v>
      </c>
      <c r="D405" t="s">
        <v>37</v>
      </c>
      <c r="F405" t="s">
        <v>39</v>
      </c>
      <c r="G405">
        <v>10</v>
      </c>
      <c r="H405" t="s">
        <v>321</v>
      </c>
      <c r="I405" t="s">
        <v>322</v>
      </c>
      <c r="J405" t="s">
        <v>42</v>
      </c>
      <c r="K405" t="s">
        <v>323</v>
      </c>
      <c r="L405" t="s">
        <v>185</v>
      </c>
      <c r="M405" t="s">
        <v>101</v>
      </c>
      <c r="N405" t="s">
        <v>294</v>
      </c>
      <c r="O405">
        <v>120</v>
      </c>
      <c r="P405">
        <v>48.780487804878</v>
      </c>
      <c r="Q405">
        <v>638.9</v>
      </c>
      <c r="R405">
        <v>1</v>
      </c>
      <c r="S405">
        <v>50.950570342205303</v>
      </c>
      <c r="T405">
        <f t="shared" si="6"/>
        <v>0.50950570342205304</v>
      </c>
      <c r="U405" t="s">
        <v>221</v>
      </c>
      <c r="V405" t="s">
        <v>295</v>
      </c>
    </row>
    <row r="406" spans="1:22" x14ac:dyDescent="0.25">
      <c r="A406">
        <v>405</v>
      </c>
      <c r="B406" t="s">
        <v>217</v>
      </c>
      <c r="C406" s="2">
        <v>43340</v>
      </c>
      <c r="D406" t="s">
        <v>37</v>
      </c>
      <c r="F406" t="s">
        <v>39</v>
      </c>
      <c r="G406">
        <v>11</v>
      </c>
      <c r="H406" t="s">
        <v>218</v>
      </c>
      <c r="I406" t="s">
        <v>219</v>
      </c>
      <c r="J406" t="s">
        <v>42</v>
      </c>
      <c r="K406" t="s">
        <v>220</v>
      </c>
      <c r="L406" t="s">
        <v>44</v>
      </c>
      <c r="M406" t="s">
        <v>45</v>
      </c>
      <c r="N406" t="s">
        <v>46</v>
      </c>
      <c r="O406">
        <v>16</v>
      </c>
      <c r="P406">
        <v>70.886075949367097</v>
      </c>
      <c r="Q406">
        <v>703.7</v>
      </c>
      <c r="R406">
        <v>0</v>
      </c>
      <c r="S406">
        <v>52.5195968645017</v>
      </c>
      <c r="T406">
        <f t="shared" si="6"/>
        <v>0.52519596864501705</v>
      </c>
      <c r="U406" t="s">
        <v>221</v>
      </c>
      <c r="V406" t="s">
        <v>48</v>
      </c>
    </row>
    <row r="407" spans="1:22" x14ac:dyDescent="0.25">
      <c r="A407">
        <v>406</v>
      </c>
      <c r="B407" t="s">
        <v>217</v>
      </c>
      <c r="C407" s="2">
        <v>43340</v>
      </c>
      <c r="D407" t="s">
        <v>37</v>
      </c>
      <c r="F407" t="s">
        <v>39</v>
      </c>
      <c r="G407">
        <v>11</v>
      </c>
      <c r="H407" t="s">
        <v>222</v>
      </c>
      <c r="I407" t="s">
        <v>223</v>
      </c>
      <c r="J407" t="s">
        <v>42</v>
      </c>
      <c r="K407" t="s">
        <v>224</v>
      </c>
      <c r="L407" t="s">
        <v>225</v>
      </c>
      <c r="M407" t="s">
        <v>45</v>
      </c>
      <c r="N407" t="s">
        <v>46</v>
      </c>
      <c r="O407">
        <v>51</v>
      </c>
      <c r="P407">
        <v>15.1515151515152</v>
      </c>
      <c r="Q407">
        <v>486.2</v>
      </c>
      <c r="R407">
        <v>1</v>
      </c>
      <c r="S407">
        <v>44.548286604361401</v>
      </c>
      <c r="T407">
        <f t="shared" si="6"/>
        <v>0.44548286604361403</v>
      </c>
      <c r="U407" t="s">
        <v>221</v>
      </c>
      <c r="V407" t="s">
        <v>48</v>
      </c>
    </row>
    <row r="408" spans="1:22" x14ac:dyDescent="0.25">
      <c r="A408">
        <v>407</v>
      </c>
      <c r="B408" t="s">
        <v>217</v>
      </c>
      <c r="C408" s="2">
        <v>43340</v>
      </c>
      <c r="D408" t="s">
        <v>37</v>
      </c>
      <c r="F408" t="s">
        <v>39</v>
      </c>
      <c r="G408">
        <v>11</v>
      </c>
      <c r="H408" t="s">
        <v>226</v>
      </c>
      <c r="I408" t="s">
        <v>227</v>
      </c>
      <c r="J408" t="s">
        <v>42</v>
      </c>
      <c r="K408" t="s">
        <v>228</v>
      </c>
      <c r="L408" t="s">
        <v>225</v>
      </c>
      <c r="M408" t="s">
        <v>45</v>
      </c>
      <c r="N408" t="s">
        <v>46</v>
      </c>
      <c r="O408">
        <v>19</v>
      </c>
      <c r="P408">
        <v>74.4444444444444</v>
      </c>
      <c r="Q408">
        <v>545.70000000000005</v>
      </c>
      <c r="R408">
        <v>0</v>
      </c>
      <c r="S408">
        <v>54.1666666666667</v>
      </c>
      <c r="T408">
        <f t="shared" si="6"/>
        <v>0.54166666666666696</v>
      </c>
      <c r="U408" t="s">
        <v>221</v>
      </c>
      <c r="V408" t="s">
        <v>48</v>
      </c>
    </row>
    <row r="409" spans="1:22" x14ac:dyDescent="0.25">
      <c r="A409">
        <v>408</v>
      </c>
      <c r="B409" t="s">
        <v>217</v>
      </c>
      <c r="C409" s="2">
        <v>43340</v>
      </c>
      <c r="D409" t="s">
        <v>37</v>
      </c>
      <c r="F409" t="s">
        <v>39</v>
      </c>
      <c r="G409">
        <v>11</v>
      </c>
      <c r="H409" t="s">
        <v>229</v>
      </c>
      <c r="I409" t="s">
        <v>230</v>
      </c>
      <c r="J409" t="s">
        <v>42</v>
      </c>
      <c r="K409" t="s">
        <v>231</v>
      </c>
      <c r="L409" t="s">
        <v>232</v>
      </c>
      <c r="M409" t="s">
        <v>45</v>
      </c>
      <c r="N409" t="s">
        <v>46</v>
      </c>
      <c r="O409">
        <v>120</v>
      </c>
      <c r="P409">
        <v>38.095238095238102</v>
      </c>
      <c r="Q409">
        <v>511.8</v>
      </c>
      <c r="R409">
        <v>1</v>
      </c>
      <c r="S409">
        <v>52.422907488986802</v>
      </c>
      <c r="T409">
        <f t="shared" si="6"/>
        <v>0.52422907488986803</v>
      </c>
      <c r="U409" t="s">
        <v>221</v>
      </c>
      <c r="V409" t="s">
        <v>48</v>
      </c>
    </row>
    <row r="410" spans="1:22" x14ac:dyDescent="0.25">
      <c r="A410">
        <v>409</v>
      </c>
      <c r="B410" t="s">
        <v>217</v>
      </c>
      <c r="C410" s="2">
        <v>43340</v>
      </c>
      <c r="D410" t="s">
        <v>37</v>
      </c>
      <c r="F410" t="s">
        <v>39</v>
      </c>
      <c r="G410">
        <v>11</v>
      </c>
      <c r="H410" t="s">
        <v>233</v>
      </c>
      <c r="I410" t="s">
        <v>234</v>
      </c>
      <c r="J410" t="s">
        <v>42</v>
      </c>
      <c r="K410" t="s">
        <v>235</v>
      </c>
      <c r="L410" t="s">
        <v>232</v>
      </c>
      <c r="M410" t="s">
        <v>45</v>
      </c>
      <c r="N410" t="s">
        <v>46</v>
      </c>
      <c r="O410">
        <v>76</v>
      </c>
      <c r="P410">
        <v>60.824742268041199</v>
      </c>
      <c r="Q410">
        <v>501.6</v>
      </c>
      <c r="R410">
        <v>0</v>
      </c>
      <c r="S410">
        <v>57.765151515151501</v>
      </c>
      <c r="T410">
        <f t="shared" si="6"/>
        <v>0.57765151515151503</v>
      </c>
      <c r="U410" t="s">
        <v>221</v>
      </c>
      <c r="V410" t="s">
        <v>48</v>
      </c>
    </row>
    <row r="411" spans="1:22" x14ac:dyDescent="0.25">
      <c r="A411">
        <v>410</v>
      </c>
      <c r="B411" t="s">
        <v>217</v>
      </c>
      <c r="C411" s="2">
        <v>43340</v>
      </c>
      <c r="D411" t="s">
        <v>37</v>
      </c>
      <c r="F411" t="s">
        <v>39</v>
      </c>
      <c r="G411">
        <v>11</v>
      </c>
      <c r="H411" t="s">
        <v>236</v>
      </c>
      <c r="I411" t="s">
        <v>237</v>
      </c>
      <c r="J411" t="s">
        <v>42</v>
      </c>
      <c r="K411" t="s">
        <v>238</v>
      </c>
      <c r="L411" t="s">
        <v>239</v>
      </c>
      <c r="M411" t="s">
        <v>45</v>
      </c>
      <c r="N411" t="s">
        <v>46</v>
      </c>
      <c r="O411">
        <v>67</v>
      </c>
      <c r="P411">
        <v>59.821428571428598</v>
      </c>
      <c r="Q411">
        <v>758.2</v>
      </c>
      <c r="R411">
        <v>0</v>
      </c>
      <c r="S411">
        <v>53.191489361702097</v>
      </c>
      <c r="T411">
        <f t="shared" si="6"/>
        <v>0.53191489361702093</v>
      </c>
      <c r="U411" t="s">
        <v>221</v>
      </c>
      <c r="V411" t="s">
        <v>48</v>
      </c>
    </row>
    <row r="412" spans="1:22" x14ac:dyDescent="0.25">
      <c r="A412">
        <v>411</v>
      </c>
      <c r="B412" t="s">
        <v>217</v>
      </c>
      <c r="C412" s="2">
        <v>43340</v>
      </c>
      <c r="D412" t="s">
        <v>37</v>
      </c>
      <c r="F412" t="s">
        <v>39</v>
      </c>
      <c r="G412">
        <v>11</v>
      </c>
      <c r="H412" t="s">
        <v>240</v>
      </c>
      <c r="I412" t="s">
        <v>241</v>
      </c>
      <c r="J412" t="s">
        <v>42</v>
      </c>
      <c r="K412" t="s">
        <v>242</v>
      </c>
      <c r="L412" t="s">
        <v>111</v>
      </c>
      <c r="M412" t="s">
        <v>45</v>
      </c>
      <c r="N412" t="s">
        <v>46</v>
      </c>
      <c r="O412">
        <v>12</v>
      </c>
      <c r="P412">
        <v>47.826086956521699</v>
      </c>
      <c r="Q412">
        <v>644.1</v>
      </c>
      <c r="R412">
        <v>0</v>
      </c>
      <c r="S412">
        <v>50.0978473581213</v>
      </c>
      <c r="T412">
        <f t="shared" si="6"/>
        <v>0.50097847358121295</v>
      </c>
      <c r="U412" t="s">
        <v>221</v>
      </c>
      <c r="V412" t="s">
        <v>48</v>
      </c>
    </row>
    <row r="413" spans="1:22" x14ac:dyDescent="0.25">
      <c r="A413">
        <v>412</v>
      </c>
      <c r="B413" t="s">
        <v>217</v>
      </c>
      <c r="C413" s="2">
        <v>43340</v>
      </c>
      <c r="D413" t="s">
        <v>37</v>
      </c>
      <c r="F413" t="s">
        <v>39</v>
      </c>
      <c r="G413">
        <v>11</v>
      </c>
      <c r="H413" t="s">
        <v>243</v>
      </c>
      <c r="I413" t="s">
        <v>244</v>
      </c>
      <c r="J413" t="s">
        <v>42</v>
      </c>
      <c r="K413" t="s">
        <v>245</v>
      </c>
      <c r="L413" t="s">
        <v>246</v>
      </c>
      <c r="M413" t="s">
        <v>45</v>
      </c>
      <c r="N413" t="s">
        <v>46</v>
      </c>
      <c r="O413">
        <v>22</v>
      </c>
      <c r="P413">
        <v>67</v>
      </c>
      <c r="Q413">
        <v>745.9</v>
      </c>
      <c r="R413">
        <v>0</v>
      </c>
      <c r="S413">
        <v>39.907407407407398</v>
      </c>
      <c r="T413">
        <f t="shared" si="6"/>
        <v>0.39907407407407397</v>
      </c>
      <c r="U413" t="s">
        <v>221</v>
      </c>
      <c r="V413" t="s">
        <v>48</v>
      </c>
    </row>
    <row r="414" spans="1:22" x14ac:dyDescent="0.25">
      <c r="A414">
        <v>413</v>
      </c>
      <c r="B414" t="s">
        <v>217</v>
      </c>
      <c r="C414" s="2">
        <v>43340</v>
      </c>
      <c r="D414" t="s">
        <v>37</v>
      </c>
      <c r="F414" t="s">
        <v>39</v>
      </c>
      <c r="G414">
        <v>11</v>
      </c>
      <c r="H414" t="s">
        <v>247</v>
      </c>
      <c r="I414" t="s">
        <v>248</v>
      </c>
      <c r="J414" t="s">
        <v>42</v>
      </c>
      <c r="K414" t="s">
        <v>249</v>
      </c>
      <c r="L414" t="s">
        <v>250</v>
      </c>
      <c r="M414" t="s">
        <v>45</v>
      </c>
      <c r="N414" t="s">
        <v>46</v>
      </c>
      <c r="O414">
        <v>12</v>
      </c>
      <c r="P414">
        <v>69.4444444444444</v>
      </c>
      <c r="Q414">
        <v>560.4</v>
      </c>
      <c r="R414">
        <v>0</v>
      </c>
      <c r="S414">
        <v>47.814910025706901</v>
      </c>
      <c r="T414">
        <f t="shared" si="6"/>
        <v>0.47814910025706903</v>
      </c>
      <c r="U414" t="s">
        <v>221</v>
      </c>
      <c r="V414" t="s">
        <v>48</v>
      </c>
    </row>
    <row r="415" spans="1:22" x14ac:dyDescent="0.25">
      <c r="A415">
        <v>414</v>
      </c>
      <c r="B415" t="s">
        <v>217</v>
      </c>
      <c r="C415" s="2">
        <v>43340</v>
      </c>
      <c r="D415" t="s">
        <v>37</v>
      </c>
      <c r="F415" t="s">
        <v>39</v>
      </c>
      <c r="G415">
        <v>10</v>
      </c>
      <c r="H415" t="s">
        <v>251</v>
      </c>
      <c r="I415" t="s">
        <v>252</v>
      </c>
      <c r="J415" t="s">
        <v>42</v>
      </c>
      <c r="K415" t="s">
        <v>253</v>
      </c>
      <c r="L415" t="s">
        <v>59</v>
      </c>
      <c r="M415" t="s">
        <v>45</v>
      </c>
      <c r="N415" t="s">
        <v>46</v>
      </c>
      <c r="O415">
        <v>42</v>
      </c>
      <c r="P415">
        <v>35.403726708074501</v>
      </c>
      <c r="Q415">
        <v>561.9</v>
      </c>
      <c r="R415">
        <v>0</v>
      </c>
      <c r="S415">
        <v>60.687593423019401</v>
      </c>
      <c r="T415">
        <f t="shared" si="6"/>
        <v>0.60687593423019404</v>
      </c>
      <c r="U415" t="s">
        <v>221</v>
      </c>
      <c r="V415" t="s">
        <v>48</v>
      </c>
    </row>
    <row r="416" spans="1:22" x14ac:dyDescent="0.25">
      <c r="A416">
        <v>415</v>
      </c>
      <c r="B416" t="s">
        <v>217</v>
      </c>
      <c r="C416" s="2">
        <v>43340</v>
      </c>
      <c r="D416" t="s">
        <v>37</v>
      </c>
      <c r="F416" t="s">
        <v>39</v>
      </c>
      <c r="G416">
        <v>11</v>
      </c>
      <c r="H416" t="s">
        <v>254</v>
      </c>
      <c r="I416" t="s">
        <v>255</v>
      </c>
      <c r="J416" t="s">
        <v>42</v>
      </c>
      <c r="K416" t="s">
        <v>256</v>
      </c>
      <c r="L416" t="s">
        <v>177</v>
      </c>
      <c r="M416" t="s">
        <v>101</v>
      </c>
      <c r="N416" t="s">
        <v>257</v>
      </c>
      <c r="O416">
        <v>120</v>
      </c>
      <c r="P416">
        <v>39.090909090909101</v>
      </c>
      <c r="Q416">
        <v>732.9</v>
      </c>
      <c r="R416">
        <v>1</v>
      </c>
      <c r="S416">
        <v>56.649688737974003</v>
      </c>
      <c r="T416">
        <f t="shared" si="6"/>
        <v>0.56649688737974002</v>
      </c>
      <c r="U416" t="s">
        <v>221</v>
      </c>
      <c r="V416" t="s">
        <v>48</v>
      </c>
    </row>
    <row r="417" spans="1:22" x14ac:dyDescent="0.25">
      <c r="A417">
        <v>416</v>
      </c>
      <c r="B417" t="s">
        <v>217</v>
      </c>
      <c r="C417" s="2">
        <v>43340</v>
      </c>
      <c r="D417" t="s">
        <v>37</v>
      </c>
      <c r="F417" t="s">
        <v>39</v>
      </c>
      <c r="G417">
        <v>11</v>
      </c>
      <c r="H417" t="s">
        <v>258</v>
      </c>
      <c r="I417" t="s">
        <v>259</v>
      </c>
      <c r="J417" t="s">
        <v>42</v>
      </c>
      <c r="K417" t="s">
        <v>260</v>
      </c>
      <c r="L417" t="s">
        <v>261</v>
      </c>
      <c r="M417" t="s">
        <v>45</v>
      </c>
      <c r="N417" t="s">
        <v>257</v>
      </c>
      <c r="O417">
        <v>81</v>
      </c>
      <c r="P417">
        <v>27.619047619047599</v>
      </c>
      <c r="Q417">
        <v>511.7</v>
      </c>
      <c r="R417">
        <v>1</v>
      </c>
      <c r="S417">
        <v>50.836120401337801</v>
      </c>
      <c r="T417">
        <f t="shared" si="6"/>
        <v>0.50836120401337803</v>
      </c>
      <c r="U417" t="s">
        <v>221</v>
      </c>
      <c r="V417" t="s">
        <v>48</v>
      </c>
    </row>
    <row r="418" spans="1:22" x14ac:dyDescent="0.25">
      <c r="A418">
        <v>417</v>
      </c>
      <c r="B418" t="s">
        <v>217</v>
      </c>
      <c r="C418" s="2">
        <v>43340</v>
      </c>
      <c r="D418" t="s">
        <v>37</v>
      </c>
      <c r="F418" t="s">
        <v>39</v>
      </c>
      <c r="G418">
        <v>11</v>
      </c>
      <c r="H418" t="s">
        <v>262</v>
      </c>
      <c r="I418" t="s">
        <v>263</v>
      </c>
      <c r="J418" t="s">
        <v>42</v>
      </c>
      <c r="K418" t="s">
        <v>264</v>
      </c>
      <c r="L418" t="s">
        <v>111</v>
      </c>
      <c r="M418" t="s">
        <v>101</v>
      </c>
      <c r="N418" t="s">
        <v>257</v>
      </c>
      <c r="O418">
        <v>88</v>
      </c>
      <c r="P418">
        <v>61.1111111111111</v>
      </c>
      <c r="Q418">
        <v>635.5</v>
      </c>
      <c r="R418">
        <v>1</v>
      </c>
      <c r="S418">
        <v>61.337209302325597</v>
      </c>
      <c r="T418">
        <f t="shared" si="6"/>
        <v>0.61337209302325602</v>
      </c>
      <c r="U418" t="s">
        <v>221</v>
      </c>
      <c r="V418" t="s">
        <v>48</v>
      </c>
    </row>
    <row r="419" spans="1:22" x14ac:dyDescent="0.25">
      <c r="A419">
        <v>418</v>
      </c>
      <c r="B419" t="s">
        <v>217</v>
      </c>
      <c r="C419" s="2">
        <v>43340</v>
      </c>
      <c r="D419" t="s">
        <v>37</v>
      </c>
      <c r="F419" t="s">
        <v>39</v>
      </c>
      <c r="G419">
        <v>11</v>
      </c>
      <c r="H419" t="s">
        <v>265</v>
      </c>
      <c r="I419" t="s">
        <v>266</v>
      </c>
      <c r="J419" t="s">
        <v>42</v>
      </c>
      <c r="K419" t="s">
        <v>267</v>
      </c>
      <c r="L419" t="s">
        <v>268</v>
      </c>
      <c r="M419" t="s">
        <v>45</v>
      </c>
      <c r="N419" t="s">
        <v>257</v>
      </c>
      <c r="O419">
        <v>120</v>
      </c>
      <c r="P419">
        <v>58.904109589041099</v>
      </c>
      <c r="Q419">
        <v>694.9</v>
      </c>
      <c r="R419">
        <v>1</v>
      </c>
      <c r="S419">
        <v>61.941448382126303</v>
      </c>
      <c r="T419">
        <f t="shared" si="6"/>
        <v>0.61941448382126307</v>
      </c>
      <c r="U419" t="s">
        <v>221</v>
      </c>
      <c r="V419" t="s">
        <v>48</v>
      </c>
    </row>
    <row r="420" spans="1:22" x14ac:dyDescent="0.25">
      <c r="A420">
        <v>419</v>
      </c>
      <c r="B420" t="s">
        <v>217</v>
      </c>
      <c r="C420" s="2">
        <v>43340</v>
      </c>
      <c r="D420" t="s">
        <v>37</v>
      </c>
      <c r="F420" t="s">
        <v>39</v>
      </c>
      <c r="G420">
        <v>11</v>
      </c>
      <c r="H420" t="s">
        <v>269</v>
      </c>
      <c r="I420" t="s">
        <v>270</v>
      </c>
      <c r="J420" t="s">
        <v>42</v>
      </c>
      <c r="K420" t="s">
        <v>271</v>
      </c>
      <c r="L420" t="s">
        <v>111</v>
      </c>
      <c r="M420" t="s">
        <v>45</v>
      </c>
      <c r="N420" t="s">
        <v>257</v>
      </c>
      <c r="O420">
        <v>120</v>
      </c>
      <c r="P420">
        <v>21.052631578947398</v>
      </c>
      <c r="Q420">
        <v>400.6</v>
      </c>
      <c r="R420">
        <v>1</v>
      </c>
      <c r="S420">
        <v>79.389830508474603</v>
      </c>
      <c r="T420">
        <f t="shared" si="6"/>
        <v>0.79389830508474601</v>
      </c>
      <c r="U420" t="s">
        <v>221</v>
      </c>
      <c r="V420" t="s">
        <v>48</v>
      </c>
    </row>
    <row r="421" spans="1:22" x14ac:dyDescent="0.25">
      <c r="A421">
        <v>420</v>
      </c>
      <c r="B421" t="s">
        <v>217</v>
      </c>
      <c r="C421" s="2">
        <v>43340</v>
      </c>
      <c r="D421" t="s">
        <v>37</v>
      </c>
      <c r="F421" t="s">
        <v>39</v>
      </c>
      <c r="G421">
        <v>11</v>
      </c>
      <c r="H421" t="s">
        <v>272</v>
      </c>
      <c r="I421" t="s">
        <v>273</v>
      </c>
      <c r="J421" t="s">
        <v>42</v>
      </c>
      <c r="K421" t="s">
        <v>274</v>
      </c>
      <c r="L421" t="s">
        <v>275</v>
      </c>
      <c r="M421" t="s">
        <v>101</v>
      </c>
      <c r="N421" t="s">
        <v>257</v>
      </c>
      <c r="O421">
        <v>120</v>
      </c>
      <c r="P421">
        <v>47.747747747747802</v>
      </c>
      <c r="Q421">
        <v>706.6</v>
      </c>
      <c r="R421">
        <v>1</v>
      </c>
      <c r="S421">
        <v>64.277389277389304</v>
      </c>
      <c r="T421">
        <f t="shared" si="6"/>
        <v>0.64277389277389307</v>
      </c>
      <c r="U421" t="s">
        <v>221</v>
      </c>
      <c r="V421" t="s">
        <v>48</v>
      </c>
    </row>
    <row r="422" spans="1:22" x14ac:dyDescent="0.25">
      <c r="A422">
        <v>421</v>
      </c>
      <c r="B422" t="s">
        <v>217</v>
      </c>
      <c r="C422" s="2">
        <v>43340</v>
      </c>
      <c r="D422" t="s">
        <v>37</v>
      </c>
      <c r="F422" t="s">
        <v>39</v>
      </c>
      <c r="G422">
        <v>11</v>
      </c>
      <c r="H422" t="s">
        <v>276</v>
      </c>
      <c r="I422" t="s">
        <v>277</v>
      </c>
      <c r="J422" t="s">
        <v>42</v>
      </c>
      <c r="K422" t="s">
        <v>278</v>
      </c>
      <c r="L422" t="s">
        <v>177</v>
      </c>
      <c r="M422" t="s">
        <v>101</v>
      </c>
      <c r="N422" t="s">
        <v>257</v>
      </c>
      <c r="O422">
        <v>120</v>
      </c>
      <c r="P422">
        <v>65.079365079365104</v>
      </c>
      <c r="Q422">
        <v>788</v>
      </c>
      <c r="R422">
        <v>1</v>
      </c>
      <c r="S422">
        <v>50.1875</v>
      </c>
      <c r="T422">
        <f t="shared" si="6"/>
        <v>0.50187499999999996</v>
      </c>
      <c r="U422" t="s">
        <v>221</v>
      </c>
      <c r="V422" t="s">
        <v>48</v>
      </c>
    </row>
    <row r="423" spans="1:22" x14ac:dyDescent="0.25">
      <c r="A423">
        <v>422</v>
      </c>
      <c r="B423" t="s">
        <v>217</v>
      </c>
      <c r="C423" s="2">
        <v>43340</v>
      </c>
      <c r="D423" t="s">
        <v>37</v>
      </c>
      <c r="F423" t="s">
        <v>39</v>
      </c>
      <c r="G423">
        <v>11</v>
      </c>
      <c r="H423" t="s">
        <v>279</v>
      </c>
      <c r="I423" t="s">
        <v>280</v>
      </c>
      <c r="J423" t="s">
        <v>42</v>
      </c>
      <c r="K423" t="s">
        <v>281</v>
      </c>
      <c r="L423" t="s">
        <v>177</v>
      </c>
      <c r="M423" t="s">
        <v>45</v>
      </c>
      <c r="N423" t="s">
        <v>257</v>
      </c>
      <c r="O423">
        <v>42</v>
      </c>
      <c r="P423">
        <v>44.329896907216501</v>
      </c>
      <c r="Q423">
        <v>537.29999999999995</v>
      </c>
      <c r="R423">
        <v>1</v>
      </c>
      <c r="S423">
        <v>59.629101283880203</v>
      </c>
      <c r="T423">
        <f t="shared" si="6"/>
        <v>0.59629101283880204</v>
      </c>
      <c r="U423" t="s">
        <v>221</v>
      </c>
      <c r="V423" t="s">
        <v>48</v>
      </c>
    </row>
    <row r="424" spans="1:22" x14ac:dyDescent="0.25">
      <c r="A424">
        <v>423</v>
      </c>
      <c r="B424" t="s">
        <v>217</v>
      </c>
      <c r="C424" s="2">
        <v>43340</v>
      </c>
      <c r="D424" t="s">
        <v>37</v>
      </c>
      <c r="F424" t="s">
        <v>39</v>
      </c>
      <c r="G424">
        <v>11</v>
      </c>
      <c r="H424" t="s">
        <v>282</v>
      </c>
      <c r="I424" t="s">
        <v>283</v>
      </c>
      <c r="J424" t="s">
        <v>42</v>
      </c>
      <c r="K424" t="s">
        <v>284</v>
      </c>
      <c r="L424" t="s">
        <v>285</v>
      </c>
      <c r="M424" t="s">
        <v>101</v>
      </c>
      <c r="N424" t="s">
        <v>257</v>
      </c>
      <c r="O424">
        <v>120</v>
      </c>
      <c r="P424">
        <v>15.294117647058799</v>
      </c>
      <c r="Q424">
        <v>476.5</v>
      </c>
      <c r="R424">
        <v>1</v>
      </c>
      <c r="S424">
        <v>54.704944178628402</v>
      </c>
      <c r="T424">
        <f t="shared" si="6"/>
        <v>0.54704944178628401</v>
      </c>
      <c r="U424" t="s">
        <v>221</v>
      </c>
      <c r="V424" t="s">
        <v>48</v>
      </c>
    </row>
    <row r="425" spans="1:22" x14ac:dyDescent="0.25">
      <c r="A425">
        <v>424</v>
      </c>
      <c r="B425" t="s">
        <v>217</v>
      </c>
      <c r="C425" s="2">
        <v>43340</v>
      </c>
      <c r="D425" t="s">
        <v>37</v>
      </c>
      <c r="F425" t="s">
        <v>39</v>
      </c>
      <c r="G425">
        <v>11</v>
      </c>
      <c r="H425" t="s">
        <v>286</v>
      </c>
      <c r="I425" t="s">
        <v>287</v>
      </c>
      <c r="J425" t="s">
        <v>42</v>
      </c>
      <c r="K425" t="s">
        <v>288</v>
      </c>
      <c r="L425" t="s">
        <v>289</v>
      </c>
      <c r="M425" t="s">
        <v>45</v>
      </c>
      <c r="N425" t="s">
        <v>257</v>
      </c>
      <c r="O425">
        <v>120</v>
      </c>
      <c r="P425">
        <v>37.640449438202303</v>
      </c>
      <c r="Q425">
        <v>455.7</v>
      </c>
      <c r="R425">
        <v>1</v>
      </c>
      <c r="S425">
        <v>55.616850551654998</v>
      </c>
      <c r="T425">
        <f t="shared" si="6"/>
        <v>0.55616850551654995</v>
      </c>
      <c r="U425" t="s">
        <v>221</v>
      </c>
      <c r="V425" t="s">
        <v>48</v>
      </c>
    </row>
    <row r="426" spans="1:22" x14ac:dyDescent="0.25">
      <c r="A426">
        <v>425</v>
      </c>
      <c r="B426" t="s">
        <v>217</v>
      </c>
      <c r="C426" s="2">
        <v>43340</v>
      </c>
      <c r="D426" t="s">
        <v>37</v>
      </c>
      <c r="F426" t="s">
        <v>39</v>
      </c>
      <c r="G426">
        <v>11</v>
      </c>
      <c r="H426" t="s">
        <v>290</v>
      </c>
      <c r="I426" t="s">
        <v>291</v>
      </c>
      <c r="J426" t="s">
        <v>42</v>
      </c>
      <c r="K426" t="s">
        <v>292</v>
      </c>
      <c r="L426" t="s">
        <v>293</v>
      </c>
      <c r="M426" t="s">
        <v>101</v>
      </c>
      <c r="N426" t="s">
        <v>294</v>
      </c>
      <c r="O426">
        <v>91</v>
      </c>
      <c r="P426">
        <v>64.467005076142101</v>
      </c>
      <c r="Q426">
        <v>668.7</v>
      </c>
      <c r="R426">
        <v>0</v>
      </c>
      <c r="S426">
        <v>59.7853535353536</v>
      </c>
      <c r="T426">
        <f t="shared" si="6"/>
        <v>0.59785353535353603</v>
      </c>
      <c r="U426" t="s">
        <v>221</v>
      </c>
      <c r="V426" t="s">
        <v>295</v>
      </c>
    </row>
    <row r="427" spans="1:22" x14ac:dyDescent="0.25">
      <c r="A427">
        <v>426</v>
      </c>
      <c r="B427" t="s">
        <v>217</v>
      </c>
      <c r="C427" s="2">
        <v>43340</v>
      </c>
      <c r="D427" t="s">
        <v>37</v>
      </c>
      <c r="F427" t="s">
        <v>39</v>
      </c>
      <c r="G427">
        <v>11</v>
      </c>
      <c r="H427" t="s">
        <v>296</v>
      </c>
      <c r="I427" t="s">
        <v>297</v>
      </c>
      <c r="J427" t="s">
        <v>42</v>
      </c>
      <c r="K427" t="s">
        <v>298</v>
      </c>
      <c r="L427" t="s">
        <v>293</v>
      </c>
      <c r="M427" t="s">
        <v>101</v>
      </c>
      <c r="N427" t="s">
        <v>294</v>
      </c>
      <c r="O427">
        <v>35</v>
      </c>
      <c r="P427">
        <v>43.956043956043999</v>
      </c>
      <c r="Q427">
        <v>782.6</v>
      </c>
      <c r="R427">
        <v>0</v>
      </c>
      <c r="S427">
        <v>55.268524813052402</v>
      </c>
      <c r="T427">
        <f t="shared" si="6"/>
        <v>0.552685248130524</v>
      </c>
      <c r="U427" t="s">
        <v>221</v>
      </c>
      <c r="V427" t="s">
        <v>295</v>
      </c>
    </row>
    <row r="428" spans="1:22" x14ac:dyDescent="0.25">
      <c r="A428">
        <v>427</v>
      </c>
      <c r="B428" t="s">
        <v>217</v>
      </c>
      <c r="C428" s="2">
        <v>43340</v>
      </c>
      <c r="D428" t="s">
        <v>37</v>
      </c>
      <c r="F428" t="s">
        <v>39</v>
      </c>
      <c r="G428">
        <v>11</v>
      </c>
      <c r="H428" t="s">
        <v>299</v>
      </c>
      <c r="I428" t="s">
        <v>300</v>
      </c>
      <c r="J428" t="s">
        <v>42</v>
      </c>
      <c r="K428" t="s">
        <v>301</v>
      </c>
      <c r="L428" t="s">
        <v>302</v>
      </c>
      <c r="M428" t="s">
        <v>45</v>
      </c>
      <c r="N428" t="s">
        <v>294</v>
      </c>
      <c r="O428">
        <v>68</v>
      </c>
      <c r="P428">
        <v>61.904761904761898</v>
      </c>
      <c r="Q428">
        <v>653.6</v>
      </c>
      <c r="R428">
        <v>0</v>
      </c>
      <c r="S428">
        <v>71.480144404332094</v>
      </c>
      <c r="T428">
        <f t="shared" si="6"/>
        <v>0.71480144404332091</v>
      </c>
      <c r="U428" t="s">
        <v>221</v>
      </c>
      <c r="V428" t="s">
        <v>295</v>
      </c>
    </row>
    <row r="429" spans="1:22" x14ac:dyDescent="0.25">
      <c r="A429">
        <v>428</v>
      </c>
      <c r="B429" t="s">
        <v>217</v>
      </c>
      <c r="C429" s="2">
        <v>43340</v>
      </c>
      <c r="D429" t="s">
        <v>37</v>
      </c>
      <c r="F429" t="s">
        <v>39</v>
      </c>
      <c r="G429">
        <v>11</v>
      </c>
      <c r="H429" t="s">
        <v>303</v>
      </c>
      <c r="I429" t="s">
        <v>304</v>
      </c>
      <c r="J429" t="s">
        <v>42</v>
      </c>
      <c r="K429" t="s">
        <v>305</v>
      </c>
      <c r="L429" t="s">
        <v>250</v>
      </c>
      <c r="M429" t="s">
        <v>101</v>
      </c>
      <c r="N429" t="s">
        <v>294</v>
      </c>
      <c r="O429">
        <v>120</v>
      </c>
      <c r="P429">
        <v>75.257731958762903</v>
      </c>
      <c r="Q429">
        <v>658.3</v>
      </c>
      <c r="R429">
        <v>1</v>
      </c>
      <c r="S429">
        <v>56.895193065405799</v>
      </c>
      <c r="T429">
        <f t="shared" si="6"/>
        <v>0.56895193065405802</v>
      </c>
      <c r="U429" t="s">
        <v>221</v>
      </c>
      <c r="V429" t="s">
        <v>295</v>
      </c>
    </row>
    <row r="430" spans="1:22" x14ac:dyDescent="0.25">
      <c r="A430">
        <v>429</v>
      </c>
      <c r="B430" t="s">
        <v>217</v>
      </c>
      <c r="C430" s="2">
        <v>43340</v>
      </c>
      <c r="D430" t="s">
        <v>37</v>
      </c>
      <c r="F430" t="s">
        <v>39</v>
      </c>
      <c r="G430">
        <v>11</v>
      </c>
      <c r="H430" t="s">
        <v>306</v>
      </c>
      <c r="I430" t="s">
        <v>307</v>
      </c>
      <c r="J430" t="s">
        <v>42</v>
      </c>
      <c r="K430" t="s">
        <v>308</v>
      </c>
      <c r="L430" t="s">
        <v>250</v>
      </c>
      <c r="M430" t="s">
        <v>101</v>
      </c>
      <c r="N430" t="s">
        <v>294</v>
      </c>
      <c r="O430">
        <v>51</v>
      </c>
      <c r="P430">
        <v>71.428571428571402</v>
      </c>
      <c r="Q430">
        <v>607.4</v>
      </c>
      <c r="R430">
        <v>0</v>
      </c>
      <c r="S430">
        <v>50.875437718859402</v>
      </c>
      <c r="T430">
        <f t="shared" si="6"/>
        <v>0.50875437718859406</v>
      </c>
      <c r="U430" t="s">
        <v>221</v>
      </c>
      <c r="V430" t="s">
        <v>295</v>
      </c>
    </row>
    <row r="431" spans="1:22" x14ac:dyDescent="0.25">
      <c r="A431">
        <v>430</v>
      </c>
      <c r="B431" t="s">
        <v>217</v>
      </c>
      <c r="C431" s="2">
        <v>43340</v>
      </c>
      <c r="D431" t="s">
        <v>37</v>
      </c>
      <c r="F431" t="s">
        <v>39</v>
      </c>
      <c r="G431">
        <v>11</v>
      </c>
      <c r="H431" t="s">
        <v>309</v>
      </c>
      <c r="I431" t="s">
        <v>310</v>
      </c>
      <c r="J431" t="s">
        <v>42</v>
      </c>
      <c r="K431" t="s">
        <v>311</v>
      </c>
      <c r="L431" t="s">
        <v>250</v>
      </c>
      <c r="M431" t="s">
        <v>101</v>
      </c>
      <c r="N431" t="s">
        <v>294</v>
      </c>
      <c r="O431">
        <v>120</v>
      </c>
      <c r="P431">
        <v>36.619718309859202</v>
      </c>
      <c r="Q431">
        <v>479.6</v>
      </c>
      <c r="R431">
        <v>1</v>
      </c>
      <c r="S431">
        <v>70.0499168053245</v>
      </c>
      <c r="T431">
        <f t="shared" si="6"/>
        <v>0.70049916805324497</v>
      </c>
      <c r="U431" t="s">
        <v>221</v>
      </c>
      <c r="V431" t="s">
        <v>295</v>
      </c>
    </row>
    <row r="432" spans="1:22" x14ac:dyDescent="0.25">
      <c r="A432">
        <v>431</v>
      </c>
      <c r="B432" t="s">
        <v>217</v>
      </c>
      <c r="C432" s="2">
        <v>43340</v>
      </c>
      <c r="D432" t="s">
        <v>37</v>
      </c>
      <c r="F432" t="s">
        <v>39</v>
      </c>
      <c r="G432">
        <v>11</v>
      </c>
      <c r="H432" t="s">
        <v>312</v>
      </c>
      <c r="I432" t="s">
        <v>313</v>
      </c>
      <c r="J432" t="s">
        <v>42</v>
      </c>
      <c r="K432" t="s">
        <v>314</v>
      </c>
      <c r="L432" t="s">
        <v>250</v>
      </c>
      <c r="M432" t="s">
        <v>101</v>
      </c>
      <c r="N432" t="s">
        <v>294</v>
      </c>
      <c r="O432">
        <v>44</v>
      </c>
      <c r="P432">
        <v>50.505050505050498</v>
      </c>
      <c r="Q432">
        <v>568.29999999999995</v>
      </c>
      <c r="R432">
        <v>0</v>
      </c>
      <c r="S432">
        <v>53.387937453462399</v>
      </c>
      <c r="T432">
        <f t="shared" si="6"/>
        <v>0.53387937453462397</v>
      </c>
      <c r="U432" t="s">
        <v>221</v>
      </c>
      <c r="V432" t="s">
        <v>295</v>
      </c>
    </row>
    <row r="433" spans="1:22" x14ac:dyDescent="0.25">
      <c r="A433">
        <v>432</v>
      </c>
      <c r="B433" t="s">
        <v>217</v>
      </c>
      <c r="C433" s="2">
        <v>43340</v>
      </c>
      <c r="D433" t="s">
        <v>37</v>
      </c>
      <c r="F433" t="s">
        <v>39</v>
      </c>
      <c r="G433">
        <v>11</v>
      </c>
      <c r="H433" t="s">
        <v>315</v>
      </c>
      <c r="I433" t="s">
        <v>316</v>
      </c>
      <c r="J433" t="s">
        <v>42</v>
      </c>
      <c r="K433" t="s">
        <v>317</v>
      </c>
      <c r="L433" t="s">
        <v>185</v>
      </c>
      <c r="M433" t="s">
        <v>101</v>
      </c>
      <c r="N433" t="s">
        <v>294</v>
      </c>
      <c r="O433">
        <v>120</v>
      </c>
      <c r="P433">
        <v>65.384615384615401</v>
      </c>
      <c r="Q433">
        <v>714.4</v>
      </c>
      <c r="R433">
        <v>1</v>
      </c>
      <c r="S433">
        <v>52.079395085066203</v>
      </c>
      <c r="T433">
        <f t="shared" si="6"/>
        <v>0.52079395085066205</v>
      </c>
      <c r="U433" t="s">
        <v>221</v>
      </c>
      <c r="V433" t="s">
        <v>295</v>
      </c>
    </row>
    <row r="434" spans="1:22" x14ac:dyDescent="0.25">
      <c r="A434">
        <v>433</v>
      </c>
      <c r="B434" t="s">
        <v>217</v>
      </c>
      <c r="C434" s="2">
        <v>43340</v>
      </c>
      <c r="D434" t="s">
        <v>37</v>
      </c>
      <c r="F434" t="s">
        <v>39</v>
      </c>
      <c r="G434">
        <v>11</v>
      </c>
      <c r="H434" t="s">
        <v>318</v>
      </c>
      <c r="I434" t="s">
        <v>319</v>
      </c>
      <c r="J434" t="s">
        <v>109</v>
      </c>
      <c r="K434" t="s">
        <v>320</v>
      </c>
      <c r="L434" t="s">
        <v>185</v>
      </c>
      <c r="M434" t="s">
        <v>101</v>
      </c>
      <c r="N434" t="s">
        <v>294</v>
      </c>
      <c r="O434">
        <v>87</v>
      </c>
      <c r="P434">
        <v>35.443037974683499</v>
      </c>
      <c r="Q434">
        <v>527.20000000000005</v>
      </c>
      <c r="R434">
        <v>0</v>
      </c>
      <c r="S434">
        <v>52.183908045976999</v>
      </c>
      <c r="T434">
        <f t="shared" si="6"/>
        <v>0.52183908045977001</v>
      </c>
      <c r="U434" t="s">
        <v>221</v>
      </c>
      <c r="V434" t="s">
        <v>295</v>
      </c>
    </row>
    <row r="435" spans="1:22" x14ac:dyDescent="0.25">
      <c r="A435">
        <v>434</v>
      </c>
      <c r="B435" t="s">
        <v>217</v>
      </c>
      <c r="C435" s="2">
        <v>43340</v>
      </c>
      <c r="D435" t="s">
        <v>37</v>
      </c>
      <c r="F435" t="s">
        <v>39</v>
      </c>
      <c r="G435">
        <v>11</v>
      </c>
      <c r="H435" t="s">
        <v>321</v>
      </c>
      <c r="I435" t="s">
        <v>322</v>
      </c>
      <c r="J435" t="s">
        <v>42</v>
      </c>
      <c r="K435" t="s">
        <v>323</v>
      </c>
      <c r="L435" t="s">
        <v>185</v>
      </c>
      <c r="M435" t="s">
        <v>101</v>
      </c>
      <c r="N435" t="s">
        <v>294</v>
      </c>
      <c r="O435">
        <v>120</v>
      </c>
      <c r="P435">
        <v>21.100917431192698</v>
      </c>
      <c r="Q435">
        <v>653</v>
      </c>
      <c r="R435">
        <v>1</v>
      </c>
      <c r="S435">
        <v>49.0813648293963</v>
      </c>
      <c r="T435">
        <f t="shared" si="6"/>
        <v>0.49081364829396301</v>
      </c>
      <c r="U435" t="s">
        <v>221</v>
      </c>
      <c r="V435" t="s">
        <v>295</v>
      </c>
    </row>
    <row r="436" spans="1:22" x14ac:dyDescent="0.25">
      <c r="A436">
        <v>435</v>
      </c>
      <c r="B436" t="s">
        <v>217</v>
      </c>
      <c r="C436" s="2">
        <v>43343</v>
      </c>
      <c r="D436" t="s">
        <v>37</v>
      </c>
      <c r="F436" t="s">
        <v>39</v>
      </c>
      <c r="G436">
        <v>12</v>
      </c>
      <c r="H436" t="s">
        <v>218</v>
      </c>
      <c r="I436" t="s">
        <v>219</v>
      </c>
      <c r="J436" t="s">
        <v>42</v>
      </c>
      <c r="K436" t="s">
        <v>220</v>
      </c>
      <c r="L436" t="s">
        <v>44</v>
      </c>
      <c r="M436" t="s">
        <v>45</v>
      </c>
      <c r="N436" t="s">
        <v>46</v>
      </c>
      <c r="O436">
        <v>25</v>
      </c>
      <c r="P436">
        <v>60.4166666666667</v>
      </c>
      <c r="Q436">
        <v>643.1</v>
      </c>
      <c r="R436">
        <v>0</v>
      </c>
      <c r="S436">
        <v>49.260523321956803</v>
      </c>
      <c r="T436">
        <f t="shared" si="6"/>
        <v>0.49260523321956806</v>
      </c>
      <c r="U436" t="s">
        <v>221</v>
      </c>
      <c r="V436" t="s">
        <v>48</v>
      </c>
    </row>
    <row r="437" spans="1:22" x14ac:dyDescent="0.25">
      <c r="A437">
        <v>436</v>
      </c>
      <c r="B437" t="s">
        <v>217</v>
      </c>
      <c r="C437" s="2">
        <v>43343</v>
      </c>
      <c r="D437" t="s">
        <v>37</v>
      </c>
      <c r="F437" t="s">
        <v>39</v>
      </c>
      <c r="G437">
        <v>12</v>
      </c>
      <c r="H437" t="s">
        <v>222</v>
      </c>
      <c r="I437" t="s">
        <v>223</v>
      </c>
      <c r="J437" t="s">
        <v>42</v>
      </c>
      <c r="K437" t="s">
        <v>224</v>
      </c>
      <c r="L437" t="s">
        <v>225</v>
      </c>
      <c r="M437" t="s">
        <v>45</v>
      </c>
      <c r="N437" t="s">
        <v>46</v>
      </c>
      <c r="O437">
        <v>40</v>
      </c>
      <c r="P437">
        <v>73.214285714285694</v>
      </c>
      <c r="Q437">
        <v>764.3</v>
      </c>
      <c r="R437">
        <v>1</v>
      </c>
      <c r="S437">
        <v>42.941176470588204</v>
      </c>
      <c r="T437">
        <f t="shared" si="6"/>
        <v>0.42941176470588205</v>
      </c>
      <c r="U437" t="s">
        <v>221</v>
      </c>
      <c r="V437" t="s">
        <v>48</v>
      </c>
    </row>
    <row r="438" spans="1:22" x14ac:dyDescent="0.25">
      <c r="A438">
        <v>437</v>
      </c>
      <c r="B438" t="s">
        <v>217</v>
      </c>
      <c r="C438" s="2">
        <v>43343</v>
      </c>
      <c r="D438" t="s">
        <v>37</v>
      </c>
      <c r="F438" t="s">
        <v>39</v>
      </c>
      <c r="G438">
        <v>12</v>
      </c>
      <c r="H438" t="s">
        <v>226</v>
      </c>
      <c r="I438" t="s">
        <v>227</v>
      </c>
      <c r="J438" t="s">
        <v>42</v>
      </c>
      <c r="K438" t="s">
        <v>228</v>
      </c>
      <c r="L438" t="s">
        <v>225</v>
      </c>
      <c r="M438" t="s">
        <v>45</v>
      </c>
      <c r="N438" t="s">
        <v>46</v>
      </c>
      <c r="O438">
        <v>4</v>
      </c>
      <c r="P438">
        <v>73.8317757009346</v>
      </c>
      <c r="Q438">
        <v>679.4</v>
      </c>
      <c r="R438">
        <v>0</v>
      </c>
      <c r="S438">
        <v>47.081218274111698</v>
      </c>
      <c r="T438">
        <f t="shared" si="6"/>
        <v>0.47081218274111697</v>
      </c>
      <c r="U438" t="s">
        <v>221</v>
      </c>
      <c r="V438" t="s">
        <v>48</v>
      </c>
    </row>
    <row r="439" spans="1:22" x14ac:dyDescent="0.25">
      <c r="A439">
        <v>438</v>
      </c>
      <c r="B439" t="s">
        <v>217</v>
      </c>
      <c r="C439" s="2">
        <v>43343</v>
      </c>
      <c r="D439" t="s">
        <v>37</v>
      </c>
      <c r="F439" t="s">
        <v>39</v>
      </c>
      <c r="G439">
        <v>12</v>
      </c>
      <c r="H439" t="s">
        <v>229</v>
      </c>
      <c r="I439" t="s">
        <v>230</v>
      </c>
      <c r="J439" t="s">
        <v>42</v>
      </c>
      <c r="K439" t="s">
        <v>231</v>
      </c>
      <c r="L439" t="s">
        <v>232</v>
      </c>
      <c r="M439" t="s">
        <v>45</v>
      </c>
      <c r="N439" t="s">
        <v>46</v>
      </c>
      <c r="O439">
        <v>50</v>
      </c>
      <c r="P439">
        <v>76.923076923076906</v>
      </c>
      <c r="Q439">
        <v>500.2</v>
      </c>
      <c r="R439">
        <v>0</v>
      </c>
      <c r="S439">
        <v>56.060606060606098</v>
      </c>
      <c r="T439">
        <f t="shared" si="6"/>
        <v>0.560606060606061</v>
      </c>
      <c r="U439" t="s">
        <v>221</v>
      </c>
      <c r="V439" t="s">
        <v>48</v>
      </c>
    </row>
    <row r="440" spans="1:22" x14ac:dyDescent="0.25">
      <c r="A440">
        <v>439</v>
      </c>
      <c r="B440" t="s">
        <v>217</v>
      </c>
      <c r="C440" s="2">
        <v>43343</v>
      </c>
      <c r="D440" t="s">
        <v>37</v>
      </c>
      <c r="F440" t="s">
        <v>39</v>
      </c>
      <c r="G440">
        <v>12</v>
      </c>
      <c r="H440" t="s">
        <v>233</v>
      </c>
      <c r="I440" t="s">
        <v>234</v>
      </c>
      <c r="J440" t="s">
        <v>42</v>
      </c>
      <c r="K440" t="s">
        <v>235</v>
      </c>
      <c r="L440" t="s">
        <v>232</v>
      </c>
      <c r="M440" t="s">
        <v>45</v>
      </c>
      <c r="N440" t="s">
        <v>46</v>
      </c>
      <c r="O440">
        <v>53</v>
      </c>
      <c r="P440">
        <v>64.615384615384599</v>
      </c>
      <c r="Q440">
        <v>489.9</v>
      </c>
      <c r="R440">
        <v>1</v>
      </c>
      <c r="S440">
        <v>55.801104972375697</v>
      </c>
      <c r="T440">
        <f t="shared" si="6"/>
        <v>0.55801104972375692</v>
      </c>
      <c r="U440" t="s">
        <v>221</v>
      </c>
      <c r="V440" t="s">
        <v>48</v>
      </c>
    </row>
    <row r="441" spans="1:22" x14ac:dyDescent="0.25">
      <c r="A441">
        <v>440</v>
      </c>
      <c r="B441" t="s">
        <v>217</v>
      </c>
      <c r="C441" s="2">
        <v>43343</v>
      </c>
      <c r="D441" t="s">
        <v>37</v>
      </c>
      <c r="F441" t="s">
        <v>39</v>
      </c>
      <c r="G441">
        <v>12</v>
      </c>
      <c r="H441" t="s">
        <v>236</v>
      </c>
      <c r="I441" t="s">
        <v>237</v>
      </c>
      <c r="J441" t="s">
        <v>42</v>
      </c>
      <c r="K441" t="s">
        <v>238</v>
      </c>
      <c r="L441" t="s">
        <v>239</v>
      </c>
      <c r="M441" t="s">
        <v>45</v>
      </c>
      <c r="N441" t="s">
        <v>46</v>
      </c>
      <c r="O441">
        <v>120</v>
      </c>
      <c r="P441">
        <v>61.538461538461497</v>
      </c>
      <c r="Q441">
        <v>721.3</v>
      </c>
      <c r="R441">
        <v>1</v>
      </c>
      <c r="S441">
        <v>49.398797595190402</v>
      </c>
      <c r="T441">
        <f t="shared" si="6"/>
        <v>0.49398797595190402</v>
      </c>
      <c r="U441" t="s">
        <v>221</v>
      </c>
      <c r="V441" t="s">
        <v>48</v>
      </c>
    </row>
    <row r="442" spans="1:22" x14ac:dyDescent="0.25">
      <c r="A442">
        <v>441</v>
      </c>
      <c r="B442" t="s">
        <v>217</v>
      </c>
      <c r="C442" s="2">
        <v>43343</v>
      </c>
      <c r="D442" t="s">
        <v>37</v>
      </c>
      <c r="F442" t="s">
        <v>39</v>
      </c>
      <c r="G442">
        <v>12</v>
      </c>
      <c r="H442" t="s">
        <v>240</v>
      </c>
      <c r="I442" t="s">
        <v>241</v>
      </c>
      <c r="J442" t="s">
        <v>42</v>
      </c>
      <c r="K442" t="s">
        <v>242</v>
      </c>
      <c r="L442" t="s">
        <v>111</v>
      </c>
      <c r="M442" t="s">
        <v>45</v>
      </c>
      <c r="N442" t="s">
        <v>46</v>
      </c>
      <c r="O442">
        <v>16</v>
      </c>
      <c r="P442">
        <v>65.979381443299005</v>
      </c>
      <c r="Q442">
        <v>596.20000000000005</v>
      </c>
      <c r="R442">
        <v>0</v>
      </c>
      <c r="S442">
        <v>52.5195968645017</v>
      </c>
      <c r="T442">
        <f t="shared" si="6"/>
        <v>0.52519596864501705</v>
      </c>
      <c r="U442" t="s">
        <v>221</v>
      </c>
      <c r="V442" t="s">
        <v>48</v>
      </c>
    </row>
    <row r="443" spans="1:22" x14ac:dyDescent="0.25">
      <c r="A443">
        <v>442</v>
      </c>
      <c r="B443" t="s">
        <v>217</v>
      </c>
      <c r="C443" s="2">
        <v>43343</v>
      </c>
      <c r="D443" t="s">
        <v>37</v>
      </c>
      <c r="F443" t="s">
        <v>39</v>
      </c>
      <c r="G443">
        <v>12</v>
      </c>
      <c r="H443" t="s">
        <v>243</v>
      </c>
      <c r="I443" t="s">
        <v>244</v>
      </c>
      <c r="J443" t="s">
        <v>42</v>
      </c>
      <c r="K443" t="s">
        <v>245</v>
      </c>
      <c r="L443" t="s">
        <v>246</v>
      </c>
      <c r="M443" t="s">
        <v>45</v>
      </c>
      <c r="N443" t="s">
        <v>46</v>
      </c>
      <c r="O443">
        <v>12</v>
      </c>
      <c r="P443">
        <v>84.259259259259295</v>
      </c>
      <c r="Q443">
        <v>661.3</v>
      </c>
      <c r="R443">
        <v>0</v>
      </c>
      <c r="S443">
        <v>42.179487179487197</v>
      </c>
      <c r="T443">
        <f t="shared" si="6"/>
        <v>0.42179487179487196</v>
      </c>
      <c r="U443" t="s">
        <v>221</v>
      </c>
      <c r="V443" t="s">
        <v>48</v>
      </c>
    </row>
    <row r="444" spans="1:22" x14ac:dyDescent="0.25">
      <c r="A444">
        <v>443</v>
      </c>
      <c r="B444" t="s">
        <v>217</v>
      </c>
      <c r="C444" s="2">
        <v>43343</v>
      </c>
      <c r="D444" t="s">
        <v>37</v>
      </c>
      <c r="F444" t="s">
        <v>39</v>
      </c>
      <c r="G444">
        <v>12</v>
      </c>
      <c r="H444" t="s">
        <v>247</v>
      </c>
      <c r="I444" t="s">
        <v>248</v>
      </c>
      <c r="J444" t="s">
        <v>42</v>
      </c>
      <c r="K444" t="s">
        <v>249</v>
      </c>
      <c r="L444" t="s">
        <v>250</v>
      </c>
      <c r="M444" t="s">
        <v>45</v>
      </c>
      <c r="N444" t="s">
        <v>46</v>
      </c>
      <c r="O444">
        <v>116</v>
      </c>
      <c r="P444">
        <v>73.3333333333333</v>
      </c>
      <c r="Q444">
        <v>437.4</v>
      </c>
      <c r="R444">
        <v>0</v>
      </c>
      <c r="S444">
        <v>56.953642384105997</v>
      </c>
      <c r="T444">
        <f t="shared" si="6"/>
        <v>0.56953642384105996</v>
      </c>
      <c r="U444" t="s">
        <v>221</v>
      </c>
      <c r="V444" t="s">
        <v>48</v>
      </c>
    </row>
    <row r="445" spans="1:22" x14ac:dyDescent="0.25">
      <c r="A445">
        <v>444</v>
      </c>
      <c r="B445" t="s">
        <v>217</v>
      </c>
      <c r="C445" s="2">
        <v>43343</v>
      </c>
      <c r="D445" t="s">
        <v>37</v>
      </c>
      <c r="F445" t="s">
        <v>39</v>
      </c>
      <c r="G445">
        <v>11</v>
      </c>
      <c r="H445" t="s">
        <v>251</v>
      </c>
      <c r="I445" t="s">
        <v>252</v>
      </c>
      <c r="J445" t="s">
        <v>42</v>
      </c>
      <c r="K445" t="s">
        <v>253</v>
      </c>
      <c r="L445" t="s">
        <v>59</v>
      </c>
      <c r="M445" t="s">
        <v>45</v>
      </c>
      <c r="N445" t="s">
        <v>46</v>
      </c>
      <c r="O445">
        <v>39</v>
      </c>
      <c r="P445">
        <v>46.031746031746003</v>
      </c>
      <c r="Q445">
        <v>506.6</v>
      </c>
      <c r="R445">
        <v>0</v>
      </c>
      <c r="S445">
        <v>58.395989974937301</v>
      </c>
      <c r="T445">
        <f t="shared" si="6"/>
        <v>0.58395989974937301</v>
      </c>
      <c r="U445" t="s">
        <v>221</v>
      </c>
      <c r="V445" t="s">
        <v>48</v>
      </c>
    </row>
    <row r="446" spans="1:22" x14ac:dyDescent="0.25">
      <c r="A446">
        <v>445</v>
      </c>
      <c r="B446" t="s">
        <v>217</v>
      </c>
      <c r="C446" s="2">
        <v>43343</v>
      </c>
      <c r="D446" t="s">
        <v>37</v>
      </c>
      <c r="F446" t="s">
        <v>39</v>
      </c>
      <c r="G446">
        <v>12</v>
      </c>
      <c r="H446" t="s">
        <v>254</v>
      </c>
      <c r="I446" t="s">
        <v>255</v>
      </c>
      <c r="J446" t="s">
        <v>42</v>
      </c>
      <c r="K446" t="s">
        <v>256</v>
      </c>
      <c r="L446" t="s">
        <v>177</v>
      </c>
      <c r="M446" t="s">
        <v>101</v>
      </c>
      <c r="N446" t="s">
        <v>257</v>
      </c>
      <c r="O446">
        <v>120</v>
      </c>
      <c r="P446">
        <v>48.461538461538503</v>
      </c>
      <c r="Q446">
        <v>579.20000000000005</v>
      </c>
      <c r="R446">
        <v>1</v>
      </c>
      <c r="S446">
        <v>57.3753814852492</v>
      </c>
      <c r="T446">
        <f t="shared" si="6"/>
        <v>0.57375381485249199</v>
      </c>
      <c r="U446" t="s">
        <v>221</v>
      </c>
      <c r="V446" t="s">
        <v>48</v>
      </c>
    </row>
    <row r="447" spans="1:22" x14ac:dyDescent="0.25">
      <c r="A447">
        <v>446</v>
      </c>
      <c r="B447" t="s">
        <v>217</v>
      </c>
      <c r="C447" s="2">
        <v>43343</v>
      </c>
      <c r="D447" t="s">
        <v>37</v>
      </c>
      <c r="F447" t="s">
        <v>39</v>
      </c>
      <c r="G447">
        <v>12</v>
      </c>
      <c r="H447" t="s">
        <v>258</v>
      </c>
      <c r="I447" t="s">
        <v>259</v>
      </c>
      <c r="J447" t="s">
        <v>42</v>
      </c>
      <c r="K447" t="s">
        <v>260</v>
      </c>
      <c r="L447" t="s">
        <v>261</v>
      </c>
      <c r="M447" t="s">
        <v>45</v>
      </c>
      <c r="N447" t="s">
        <v>257</v>
      </c>
      <c r="O447">
        <v>120</v>
      </c>
      <c r="P447">
        <v>52.073732718894</v>
      </c>
      <c r="Q447">
        <v>726.1</v>
      </c>
      <c r="R447">
        <v>1</v>
      </c>
      <c r="S447">
        <v>56.016315431679097</v>
      </c>
      <c r="T447">
        <f t="shared" si="6"/>
        <v>0.56016315431679098</v>
      </c>
      <c r="U447" t="s">
        <v>221</v>
      </c>
      <c r="V447" t="s">
        <v>48</v>
      </c>
    </row>
    <row r="448" spans="1:22" x14ac:dyDescent="0.25">
      <c r="A448">
        <v>447</v>
      </c>
      <c r="B448" t="s">
        <v>217</v>
      </c>
      <c r="C448" s="2">
        <v>43343</v>
      </c>
      <c r="D448" t="s">
        <v>37</v>
      </c>
      <c r="F448" t="s">
        <v>39</v>
      </c>
      <c r="G448">
        <v>12</v>
      </c>
      <c r="H448" t="s">
        <v>262</v>
      </c>
      <c r="I448" t="s">
        <v>263</v>
      </c>
      <c r="J448" t="s">
        <v>42</v>
      </c>
      <c r="K448" t="s">
        <v>264</v>
      </c>
      <c r="L448" t="s">
        <v>111</v>
      </c>
      <c r="M448" t="s">
        <v>101</v>
      </c>
      <c r="N448" t="s">
        <v>257</v>
      </c>
      <c r="O448">
        <v>24</v>
      </c>
      <c r="P448">
        <v>67.630057803468205</v>
      </c>
      <c r="Q448">
        <v>737.2</v>
      </c>
      <c r="R448">
        <v>0</v>
      </c>
      <c r="S448">
        <v>53.824626865671597</v>
      </c>
      <c r="T448">
        <f t="shared" si="6"/>
        <v>0.53824626865671599</v>
      </c>
      <c r="U448" t="s">
        <v>221</v>
      </c>
      <c r="V448" t="s">
        <v>48</v>
      </c>
    </row>
    <row r="449" spans="1:22" x14ac:dyDescent="0.25">
      <c r="A449">
        <v>448</v>
      </c>
      <c r="B449" t="s">
        <v>217</v>
      </c>
      <c r="C449" s="2">
        <v>43343</v>
      </c>
      <c r="D449" t="s">
        <v>37</v>
      </c>
      <c r="F449" t="s">
        <v>39</v>
      </c>
      <c r="G449">
        <v>12</v>
      </c>
      <c r="H449" t="s">
        <v>265</v>
      </c>
      <c r="I449" t="s">
        <v>266</v>
      </c>
      <c r="J449" t="s">
        <v>42</v>
      </c>
      <c r="K449" t="s">
        <v>267</v>
      </c>
      <c r="L449" t="s">
        <v>268</v>
      </c>
      <c r="M449" t="s">
        <v>45</v>
      </c>
      <c r="N449" t="s">
        <v>257</v>
      </c>
      <c r="O449">
        <v>70</v>
      </c>
      <c r="P449">
        <v>34.3511450381679</v>
      </c>
      <c r="Q449">
        <v>474.5</v>
      </c>
      <c r="R449">
        <v>1</v>
      </c>
      <c r="S449">
        <v>61.791590493601397</v>
      </c>
      <c r="T449">
        <f t="shared" si="6"/>
        <v>0.617915904936014</v>
      </c>
      <c r="U449" t="s">
        <v>221</v>
      </c>
      <c r="V449" t="s">
        <v>48</v>
      </c>
    </row>
    <row r="450" spans="1:22" x14ac:dyDescent="0.25">
      <c r="A450">
        <v>449</v>
      </c>
      <c r="B450" t="s">
        <v>217</v>
      </c>
      <c r="C450" s="2">
        <v>43343</v>
      </c>
      <c r="D450" t="s">
        <v>37</v>
      </c>
      <c r="F450" t="s">
        <v>39</v>
      </c>
      <c r="G450">
        <v>12</v>
      </c>
      <c r="H450" t="s">
        <v>269</v>
      </c>
      <c r="I450" t="s">
        <v>270</v>
      </c>
      <c r="J450" t="s">
        <v>42</v>
      </c>
      <c r="K450" t="s">
        <v>271</v>
      </c>
      <c r="L450" t="s">
        <v>111</v>
      </c>
      <c r="M450" t="s">
        <v>45</v>
      </c>
      <c r="N450" t="s">
        <v>257</v>
      </c>
      <c r="O450">
        <v>120</v>
      </c>
      <c r="P450">
        <v>29.268292682926798</v>
      </c>
      <c r="Q450">
        <v>237.2</v>
      </c>
      <c r="R450">
        <v>1</v>
      </c>
      <c r="S450">
        <v>79.1767554479419</v>
      </c>
      <c r="T450">
        <f t="shared" si="6"/>
        <v>0.79176755447941904</v>
      </c>
      <c r="U450" t="s">
        <v>221</v>
      </c>
      <c r="V450" t="s">
        <v>48</v>
      </c>
    </row>
    <row r="451" spans="1:22" x14ac:dyDescent="0.25">
      <c r="A451">
        <v>450</v>
      </c>
      <c r="B451" t="s">
        <v>217</v>
      </c>
      <c r="C451" s="2">
        <v>43343</v>
      </c>
      <c r="D451" t="s">
        <v>37</v>
      </c>
      <c r="F451" t="s">
        <v>39</v>
      </c>
      <c r="G451">
        <v>12</v>
      </c>
      <c r="H451" t="s">
        <v>272</v>
      </c>
      <c r="I451" t="s">
        <v>273</v>
      </c>
      <c r="J451" t="s">
        <v>42</v>
      </c>
      <c r="K451" t="s">
        <v>274</v>
      </c>
      <c r="L451" t="s">
        <v>275</v>
      </c>
      <c r="M451" t="s">
        <v>101</v>
      </c>
      <c r="N451" t="s">
        <v>257</v>
      </c>
      <c r="O451">
        <v>120</v>
      </c>
      <c r="P451">
        <v>39.4444444444444</v>
      </c>
      <c r="Q451">
        <v>631.6</v>
      </c>
      <c r="R451">
        <v>1</v>
      </c>
      <c r="S451">
        <v>50</v>
      </c>
      <c r="T451">
        <f t="shared" ref="T451:T514" si="7">S451/100</f>
        <v>0.5</v>
      </c>
      <c r="U451" t="s">
        <v>221</v>
      </c>
      <c r="V451" t="s">
        <v>48</v>
      </c>
    </row>
    <row r="452" spans="1:22" x14ac:dyDescent="0.25">
      <c r="A452">
        <v>451</v>
      </c>
      <c r="B452" t="s">
        <v>217</v>
      </c>
      <c r="C452" s="2">
        <v>43343</v>
      </c>
      <c r="D452" t="s">
        <v>37</v>
      </c>
      <c r="F452" t="s">
        <v>39</v>
      </c>
      <c r="G452">
        <v>12</v>
      </c>
      <c r="H452" t="s">
        <v>276</v>
      </c>
      <c r="I452" t="s">
        <v>277</v>
      </c>
      <c r="J452" t="s">
        <v>42</v>
      </c>
      <c r="K452" t="s">
        <v>278</v>
      </c>
      <c r="L452" t="s">
        <v>177</v>
      </c>
      <c r="M452" t="s">
        <v>101</v>
      </c>
      <c r="N452" t="s">
        <v>257</v>
      </c>
      <c r="O452">
        <v>120</v>
      </c>
      <c r="P452">
        <v>61.428571428571402</v>
      </c>
      <c r="Q452">
        <v>791.7</v>
      </c>
      <c r="R452">
        <v>1</v>
      </c>
      <c r="S452">
        <v>47.965116279069797</v>
      </c>
      <c r="T452">
        <f t="shared" si="7"/>
        <v>0.47965116279069797</v>
      </c>
      <c r="U452" t="s">
        <v>221</v>
      </c>
      <c r="V452" t="s">
        <v>48</v>
      </c>
    </row>
    <row r="453" spans="1:22" x14ac:dyDescent="0.25">
      <c r="A453">
        <v>452</v>
      </c>
      <c r="B453" t="s">
        <v>217</v>
      </c>
      <c r="C453" s="2">
        <v>43343</v>
      </c>
      <c r="D453" t="s">
        <v>37</v>
      </c>
      <c r="F453" t="s">
        <v>39</v>
      </c>
      <c r="G453">
        <v>12</v>
      </c>
      <c r="H453" t="s">
        <v>279</v>
      </c>
      <c r="I453" t="s">
        <v>280</v>
      </c>
      <c r="J453" t="s">
        <v>42</v>
      </c>
      <c r="K453" t="s">
        <v>281</v>
      </c>
      <c r="L453" t="s">
        <v>177</v>
      </c>
      <c r="M453" t="s">
        <v>45</v>
      </c>
      <c r="N453" t="s">
        <v>257</v>
      </c>
      <c r="O453">
        <v>94</v>
      </c>
      <c r="P453">
        <v>39.849624060150397</v>
      </c>
      <c r="Q453">
        <v>448.1</v>
      </c>
      <c r="R453">
        <v>1</v>
      </c>
      <c r="S453">
        <v>60.476787954830598</v>
      </c>
      <c r="T453">
        <f t="shared" si="7"/>
        <v>0.60476787954830602</v>
      </c>
      <c r="U453" t="s">
        <v>221</v>
      </c>
      <c r="V453" t="s">
        <v>48</v>
      </c>
    </row>
    <row r="454" spans="1:22" x14ac:dyDescent="0.25">
      <c r="A454">
        <v>453</v>
      </c>
      <c r="B454" t="s">
        <v>217</v>
      </c>
      <c r="C454" s="2">
        <v>43343</v>
      </c>
      <c r="D454" t="s">
        <v>37</v>
      </c>
      <c r="F454" t="s">
        <v>39</v>
      </c>
      <c r="G454">
        <v>12</v>
      </c>
      <c r="H454" t="s">
        <v>282</v>
      </c>
      <c r="I454" t="s">
        <v>283</v>
      </c>
      <c r="J454" t="s">
        <v>42</v>
      </c>
      <c r="K454" t="s">
        <v>284</v>
      </c>
      <c r="L454" t="s">
        <v>285</v>
      </c>
      <c r="M454" t="s">
        <v>101</v>
      </c>
      <c r="N454" t="s">
        <v>257</v>
      </c>
      <c r="O454">
        <v>120</v>
      </c>
      <c r="P454">
        <v>34.146341463414601</v>
      </c>
      <c r="Q454">
        <v>470.9</v>
      </c>
      <c r="R454">
        <v>1</v>
      </c>
      <c r="S454">
        <v>51.578947368420998</v>
      </c>
      <c r="T454">
        <f t="shared" si="7"/>
        <v>0.51578947368421002</v>
      </c>
      <c r="U454" t="s">
        <v>221</v>
      </c>
      <c r="V454" t="s">
        <v>48</v>
      </c>
    </row>
    <row r="455" spans="1:22" x14ac:dyDescent="0.25">
      <c r="A455">
        <v>454</v>
      </c>
      <c r="B455" t="s">
        <v>217</v>
      </c>
      <c r="C455" s="2">
        <v>43343</v>
      </c>
      <c r="D455" t="s">
        <v>37</v>
      </c>
      <c r="F455" t="s">
        <v>39</v>
      </c>
      <c r="G455">
        <v>12</v>
      </c>
      <c r="H455" t="s">
        <v>286</v>
      </c>
      <c r="I455" t="s">
        <v>287</v>
      </c>
      <c r="J455" t="s">
        <v>42</v>
      </c>
      <c r="K455" t="s">
        <v>288</v>
      </c>
      <c r="L455" t="s">
        <v>289</v>
      </c>
      <c r="M455" t="s">
        <v>45</v>
      </c>
      <c r="N455" t="s">
        <v>257</v>
      </c>
      <c r="O455">
        <v>90</v>
      </c>
      <c r="P455">
        <v>47.033898305084698</v>
      </c>
      <c r="Q455">
        <v>471.6</v>
      </c>
      <c r="R455">
        <v>1</v>
      </c>
      <c r="S455">
        <v>52.905507832238499</v>
      </c>
      <c r="T455">
        <f t="shared" si="7"/>
        <v>0.52905507832238496</v>
      </c>
      <c r="U455" t="s">
        <v>221</v>
      </c>
      <c r="V455" t="s">
        <v>48</v>
      </c>
    </row>
    <row r="456" spans="1:22" x14ac:dyDescent="0.25">
      <c r="A456">
        <v>455</v>
      </c>
      <c r="B456" t="s">
        <v>217</v>
      </c>
      <c r="C456" s="2">
        <v>43343</v>
      </c>
      <c r="D456" t="s">
        <v>37</v>
      </c>
      <c r="F456" t="s">
        <v>39</v>
      </c>
      <c r="G456">
        <v>12</v>
      </c>
      <c r="H456" t="s">
        <v>290</v>
      </c>
      <c r="I456" t="s">
        <v>291</v>
      </c>
      <c r="J456" t="s">
        <v>42</v>
      </c>
      <c r="K456" t="s">
        <v>292</v>
      </c>
      <c r="L456" t="s">
        <v>293</v>
      </c>
      <c r="M456" t="s">
        <v>101</v>
      </c>
      <c r="N456" t="s">
        <v>294</v>
      </c>
      <c r="O456">
        <v>69</v>
      </c>
      <c r="P456">
        <v>68.8888888888889</v>
      </c>
      <c r="Q456">
        <v>695.1</v>
      </c>
      <c r="R456">
        <v>1</v>
      </c>
      <c r="S456">
        <v>59.439528023598797</v>
      </c>
      <c r="T456">
        <f t="shared" si="7"/>
        <v>0.59439528023598798</v>
      </c>
      <c r="U456" t="s">
        <v>221</v>
      </c>
      <c r="V456" t="s">
        <v>295</v>
      </c>
    </row>
    <row r="457" spans="1:22" x14ac:dyDescent="0.25">
      <c r="A457">
        <v>456</v>
      </c>
      <c r="B457" t="s">
        <v>217</v>
      </c>
      <c r="C457" s="2">
        <v>43343</v>
      </c>
      <c r="D457" t="s">
        <v>37</v>
      </c>
      <c r="F457" t="s">
        <v>39</v>
      </c>
      <c r="G457">
        <v>12</v>
      </c>
      <c r="H457" t="s">
        <v>296</v>
      </c>
      <c r="I457" t="s">
        <v>297</v>
      </c>
      <c r="J457" t="s">
        <v>42</v>
      </c>
      <c r="K457" t="s">
        <v>298</v>
      </c>
      <c r="L457" t="s">
        <v>293</v>
      </c>
      <c r="M457" t="s">
        <v>101</v>
      </c>
      <c r="N457" t="s">
        <v>294</v>
      </c>
      <c r="O457">
        <v>22</v>
      </c>
      <c r="P457">
        <v>65.909090909090907</v>
      </c>
      <c r="Q457">
        <v>661.6</v>
      </c>
      <c r="R457">
        <v>0</v>
      </c>
      <c r="S457">
        <v>54.677513073794302</v>
      </c>
      <c r="T457">
        <f t="shared" si="7"/>
        <v>0.54677513073794304</v>
      </c>
      <c r="U457" t="s">
        <v>221</v>
      </c>
      <c r="V457" t="s">
        <v>295</v>
      </c>
    </row>
    <row r="458" spans="1:22" x14ac:dyDescent="0.25">
      <c r="A458">
        <v>457</v>
      </c>
      <c r="B458" t="s">
        <v>217</v>
      </c>
      <c r="C458" s="2">
        <v>43343</v>
      </c>
      <c r="D458" t="s">
        <v>37</v>
      </c>
      <c r="F458" t="s">
        <v>39</v>
      </c>
      <c r="G458">
        <v>12</v>
      </c>
      <c r="H458" t="s">
        <v>299</v>
      </c>
      <c r="I458" t="s">
        <v>300</v>
      </c>
      <c r="J458" t="s">
        <v>42</v>
      </c>
      <c r="K458" t="s">
        <v>301</v>
      </c>
      <c r="L458" t="s">
        <v>302</v>
      </c>
      <c r="M458" t="s">
        <v>45</v>
      </c>
      <c r="N458" t="s">
        <v>294</v>
      </c>
      <c r="O458">
        <v>40</v>
      </c>
      <c r="P458">
        <v>79.1666666666667</v>
      </c>
      <c r="Q458">
        <v>602.70000000000005</v>
      </c>
      <c r="R458">
        <v>1</v>
      </c>
      <c r="S458">
        <v>70.175438596491205</v>
      </c>
      <c r="T458">
        <f t="shared" si="7"/>
        <v>0.70175438596491202</v>
      </c>
      <c r="U458" t="s">
        <v>221</v>
      </c>
      <c r="V458" t="s">
        <v>295</v>
      </c>
    </row>
    <row r="459" spans="1:22" x14ac:dyDescent="0.25">
      <c r="A459">
        <v>458</v>
      </c>
      <c r="B459" t="s">
        <v>217</v>
      </c>
      <c r="C459" s="2">
        <v>43343</v>
      </c>
      <c r="D459" t="s">
        <v>37</v>
      </c>
      <c r="F459" t="s">
        <v>39</v>
      </c>
      <c r="G459">
        <v>12</v>
      </c>
      <c r="H459" t="s">
        <v>303</v>
      </c>
      <c r="I459" t="s">
        <v>304</v>
      </c>
      <c r="J459" t="s">
        <v>42</v>
      </c>
      <c r="K459" t="s">
        <v>305</v>
      </c>
      <c r="L459" t="s">
        <v>250</v>
      </c>
      <c r="M459" t="s">
        <v>101</v>
      </c>
      <c r="N459" t="s">
        <v>294</v>
      </c>
      <c r="O459">
        <v>88</v>
      </c>
      <c r="P459">
        <v>74.025974025973994</v>
      </c>
      <c r="Q459">
        <v>727.3</v>
      </c>
      <c r="R459">
        <v>0</v>
      </c>
      <c r="S459">
        <v>55.195681511471001</v>
      </c>
      <c r="T459">
        <f t="shared" si="7"/>
        <v>0.55195681511471006</v>
      </c>
      <c r="U459" t="s">
        <v>221</v>
      </c>
      <c r="V459" t="s">
        <v>295</v>
      </c>
    </row>
    <row r="460" spans="1:22" x14ac:dyDescent="0.25">
      <c r="A460">
        <v>459</v>
      </c>
      <c r="B460" t="s">
        <v>217</v>
      </c>
      <c r="C460" s="2">
        <v>43343</v>
      </c>
      <c r="D460" t="s">
        <v>37</v>
      </c>
      <c r="F460" t="s">
        <v>39</v>
      </c>
      <c r="G460">
        <v>12</v>
      </c>
      <c r="H460" t="s">
        <v>306</v>
      </c>
      <c r="I460" t="s">
        <v>307</v>
      </c>
      <c r="J460" t="s">
        <v>42</v>
      </c>
      <c r="K460" t="s">
        <v>308</v>
      </c>
      <c r="L460" t="s">
        <v>250</v>
      </c>
      <c r="M460" t="s">
        <v>101</v>
      </c>
      <c r="N460" t="s">
        <v>294</v>
      </c>
      <c r="O460">
        <v>105</v>
      </c>
      <c r="P460">
        <v>68.152866242038201</v>
      </c>
      <c r="Q460">
        <v>791.4</v>
      </c>
      <c r="R460">
        <v>0</v>
      </c>
      <c r="S460">
        <v>48.324514991181701</v>
      </c>
      <c r="T460">
        <f t="shared" si="7"/>
        <v>0.483245149911817</v>
      </c>
      <c r="U460" t="s">
        <v>221</v>
      </c>
      <c r="V460" t="s">
        <v>295</v>
      </c>
    </row>
    <row r="461" spans="1:22" x14ac:dyDescent="0.25">
      <c r="A461">
        <v>460</v>
      </c>
      <c r="B461" t="s">
        <v>217</v>
      </c>
      <c r="C461" s="2">
        <v>43343</v>
      </c>
      <c r="D461" t="s">
        <v>37</v>
      </c>
      <c r="F461" t="s">
        <v>39</v>
      </c>
      <c r="G461">
        <v>12</v>
      </c>
      <c r="H461" t="s">
        <v>309</v>
      </c>
      <c r="I461" t="s">
        <v>310</v>
      </c>
      <c r="J461" t="s">
        <v>42</v>
      </c>
      <c r="K461" t="s">
        <v>311</v>
      </c>
      <c r="L461" t="s">
        <v>250</v>
      </c>
      <c r="M461" t="s">
        <v>101</v>
      </c>
      <c r="N461" t="s">
        <v>294</v>
      </c>
      <c r="O461">
        <v>120</v>
      </c>
      <c r="P461">
        <v>57.317073170731703</v>
      </c>
      <c r="Q461">
        <v>491.1</v>
      </c>
      <c r="R461">
        <v>1</v>
      </c>
      <c r="S461">
        <v>65.564950038432002</v>
      </c>
      <c r="T461">
        <f t="shared" si="7"/>
        <v>0.65564950038432002</v>
      </c>
      <c r="U461" t="s">
        <v>221</v>
      </c>
      <c r="V461" t="s">
        <v>295</v>
      </c>
    </row>
    <row r="462" spans="1:22" x14ac:dyDescent="0.25">
      <c r="A462">
        <v>461</v>
      </c>
      <c r="B462" t="s">
        <v>217</v>
      </c>
      <c r="C462" s="2">
        <v>43343</v>
      </c>
      <c r="D462" t="s">
        <v>37</v>
      </c>
      <c r="F462" t="s">
        <v>39</v>
      </c>
      <c r="G462">
        <v>12</v>
      </c>
      <c r="H462" t="s">
        <v>312</v>
      </c>
      <c r="I462" t="s">
        <v>313</v>
      </c>
      <c r="J462" t="s">
        <v>42</v>
      </c>
      <c r="K462" t="s">
        <v>314</v>
      </c>
      <c r="L462" t="s">
        <v>250</v>
      </c>
      <c r="M462" t="s">
        <v>101</v>
      </c>
      <c r="N462" t="s">
        <v>294</v>
      </c>
      <c r="O462">
        <v>34</v>
      </c>
      <c r="P462">
        <v>72.164948453608204</v>
      </c>
      <c r="Q462">
        <v>690.2</v>
      </c>
      <c r="R462">
        <v>0</v>
      </c>
      <c r="S462">
        <v>54.1889483065954</v>
      </c>
      <c r="T462">
        <f t="shared" si="7"/>
        <v>0.54188948306595397</v>
      </c>
      <c r="U462" t="s">
        <v>221</v>
      </c>
      <c r="V462" t="s">
        <v>295</v>
      </c>
    </row>
    <row r="463" spans="1:22" x14ac:dyDescent="0.25">
      <c r="A463">
        <v>462</v>
      </c>
      <c r="B463" t="s">
        <v>217</v>
      </c>
      <c r="C463" s="2">
        <v>43343</v>
      </c>
      <c r="D463" t="s">
        <v>37</v>
      </c>
      <c r="F463" t="s">
        <v>39</v>
      </c>
      <c r="G463">
        <v>12</v>
      </c>
      <c r="H463" t="s">
        <v>315</v>
      </c>
      <c r="I463" t="s">
        <v>316</v>
      </c>
      <c r="J463" t="s">
        <v>42</v>
      </c>
      <c r="K463" t="s">
        <v>317</v>
      </c>
      <c r="L463" t="s">
        <v>185</v>
      </c>
      <c r="M463" t="s">
        <v>101</v>
      </c>
      <c r="N463" t="s">
        <v>294</v>
      </c>
      <c r="O463">
        <v>79</v>
      </c>
      <c r="P463">
        <v>83.018867924528294</v>
      </c>
      <c r="Q463">
        <v>746</v>
      </c>
      <c r="R463">
        <v>0</v>
      </c>
      <c r="S463">
        <v>50.489236790606697</v>
      </c>
      <c r="T463">
        <f t="shared" si="7"/>
        <v>0.50489236790606695</v>
      </c>
      <c r="U463" t="s">
        <v>221</v>
      </c>
      <c r="V463" t="s">
        <v>295</v>
      </c>
    </row>
    <row r="464" spans="1:22" x14ac:dyDescent="0.25">
      <c r="A464">
        <v>463</v>
      </c>
      <c r="B464" t="s">
        <v>217</v>
      </c>
      <c r="C464" s="2">
        <v>43343</v>
      </c>
      <c r="D464" t="s">
        <v>37</v>
      </c>
      <c r="F464" t="s">
        <v>39</v>
      </c>
      <c r="G464">
        <v>12</v>
      </c>
      <c r="H464" t="s">
        <v>318</v>
      </c>
      <c r="I464" t="s">
        <v>319</v>
      </c>
      <c r="J464" t="s">
        <v>109</v>
      </c>
      <c r="K464" t="s">
        <v>320</v>
      </c>
      <c r="L464" t="s">
        <v>185</v>
      </c>
      <c r="M464" t="s">
        <v>101</v>
      </c>
      <c r="N464" t="s">
        <v>294</v>
      </c>
      <c r="O464">
        <v>107</v>
      </c>
      <c r="P464">
        <v>62.5</v>
      </c>
      <c r="Q464">
        <v>542.1</v>
      </c>
      <c r="R464">
        <v>0</v>
      </c>
      <c r="S464">
        <v>51.919191919191903</v>
      </c>
      <c r="T464">
        <f t="shared" si="7"/>
        <v>0.51919191919191898</v>
      </c>
      <c r="U464" t="s">
        <v>221</v>
      </c>
      <c r="V464" t="s">
        <v>295</v>
      </c>
    </row>
    <row r="465" spans="1:22" x14ac:dyDescent="0.25">
      <c r="A465">
        <v>464</v>
      </c>
      <c r="B465" t="s">
        <v>217</v>
      </c>
      <c r="C465" s="2">
        <v>43343</v>
      </c>
      <c r="D465" t="s">
        <v>37</v>
      </c>
      <c r="F465" t="s">
        <v>39</v>
      </c>
      <c r="G465">
        <v>12</v>
      </c>
      <c r="H465" t="s">
        <v>321</v>
      </c>
      <c r="I465" t="s">
        <v>322</v>
      </c>
      <c r="J465" t="s">
        <v>42</v>
      </c>
      <c r="K465" t="s">
        <v>323</v>
      </c>
      <c r="L465" t="s">
        <v>185</v>
      </c>
      <c r="M465" t="s">
        <v>101</v>
      </c>
      <c r="N465" t="s">
        <v>294</v>
      </c>
      <c r="O465">
        <v>38</v>
      </c>
      <c r="P465">
        <v>37.5</v>
      </c>
      <c r="Q465">
        <v>547.70000000000005</v>
      </c>
      <c r="R465">
        <v>0</v>
      </c>
      <c r="S465">
        <v>48.939179632248901</v>
      </c>
      <c r="T465">
        <f t="shared" si="7"/>
        <v>0.48939179632248903</v>
      </c>
      <c r="U465" t="s">
        <v>221</v>
      </c>
      <c r="V465" t="s">
        <v>295</v>
      </c>
    </row>
    <row r="466" spans="1:22" x14ac:dyDescent="0.25">
      <c r="A466">
        <v>465</v>
      </c>
      <c r="B466" t="s">
        <v>217</v>
      </c>
      <c r="C466" s="2">
        <v>43347</v>
      </c>
      <c r="D466" t="s">
        <v>37</v>
      </c>
      <c r="F466" t="s">
        <v>39</v>
      </c>
      <c r="G466">
        <v>13</v>
      </c>
      <c r="H466" t="s">
        <v>218</v>
      </c>
      <c r="I466" t="s">
        <v>219</v>
      </c>
      <c r="J466" t="s">
        <v>42</v>
      </c>
      <c r="K466" t="s">
        <v>220</v>
      </c>
      <c r="L466" t="s">
        <v>44</v>
      </c>
      <c r="M466" t="s">
        <v>45</v>
      </c>
      <c r="N466" t="s">
        <v>46</v>
      </c>
      <c r="O466">
        <v>16</v>
      </c>
      <c r="P466">
        <v>62.135922330097102</v>
      </c>
      <c r="Q466">
        <v>706.9</v>
      </c>
      <c r="R466">
        <v>0</v>
      </c>
      <c r="S466">
        <v>50.4373177842565</v>
      </c>
      <c r="T466">
        <f t="shared" si="7"/>
        <v>0.50437317784256497</v>
      </c>
      <c r="U466" t="s">
        <v>221</v>
      </c>
      <c r="V466" t="s">
        <v>48</v>
      </c>
    </row>
    <row r="467" spans="1:22" x14ac:dyDescent="0.25">
      <c r="A467">
        <v>466</v>
      </c>
      <c r="B467" t="s">
        <v>217</v>
      </c>
      <c r="C467" s="2">
        <v>43347</v>
      </c>
      <c r="D467" t="s">
        <v>37</v>
      </c>
      <c r="F467" t="s">
        <v>39</v>
      </c>
      <c r="G467">
        <v>13</v>
      </c>
      <c r="H467" t="s">
        <v>222</v>
      </c>
      <c r="I467" t="s">
        <v>223</v>
      </c>
      <c r="J467" t="s">
        <v>42</v>
      </c>
      <c r="K467" t="s">
        <v>224</v>
      </c>
      <c r="L467" t="s">
        <v>225</v>
      </c>
      <c r="M467" t="s">
        <v>45</v>
      </c>
      <c r="N467" t="s">
        <v>46</v>
      </c>
      <c r="O467">
        <v>13</v>
      </c>
      <c r="P467">
        <v>76</v>
      </c>
      <c r="Q467">
        <v>708.4</v>
      </c>
      <c r="R467">
        <v>0</v>
      </c>
      <c r="S467">
        <v>45.824847250509201</v>
      </c>
      <c r="T467">
        <f t="shared" si="7"/>
        <v>0.45824847250509199</v>
      </c>
      <c r="U467" t="s">
        <v>221</v>
      </c>
      <c r="V467" t="s">
        <v>48</v>
      </c>
    </row>
    <row r="468" spans="1:22" x14ac:dyDescent="0.25">
      <c r="A468">
        <v>467</v>
      </c>
      <c r="B468" t="s">
        <v>217</v>
      </c>
      <c r="C468" s="2">
        <v>43347</v>
      </c>
      <c r="D468" t="s">
        <v>37</v>
      </c>
      <c r="F468" t="s">
        <v>39</v>
      </c>
      <c r="G468">
        <v>13</v>
      </c>
      <c r="H468" t="s">
        <v>226</v>
      </c>
      <c r="I468" t="s">
        <v>227</v>
      </c>
      <c r="J468" t="s">
        <v>42</v>
      </c>
      <c r="K468" t="s">
        <v>228</v>
      </c>
      <c r="L468" t="s">
        <v>225</v>
      </c>
      <c r="M468" t="s">
        <v>45</v>
      </c>
      <c r="N468" t="s">
        <v>46</v>
      </c>
      <c r="O468">
        <v>12</v>
      </c>
      <c r="P468">
        <v>47.435897435897402</v>
      </c>
      <c r="Q468">
        <v>573.70000000000005</v>
      </c>
      <c r="R468">
        <v>0</v>
      </c>
      <c r="S468">
        <v>49.738219895287898</v>
      </c>
      <c r="T468">
        <f t="shared" si="7"/>
        <v>0.497382198952879</v>
      </c>
      <c r="U468" t="s">
        <v>221</v>
      </c>
      <c r="V468" t="s">
        <v>48</v>
      </c>
    </row>
    <row r="469" spans="1:22" x14ac:dyDescent="0.25">
      <c r="A469">
        <v>468</v>
      </c>
      <c r="B469" t="s">
        <v>217</v>
      </c>
      <c r="C469" s="2">
        <v>43347</v>
      </c>
      <c r="D469" t="s">
        <v>37</v>
      </c>
      <c r="F469" t="s">
        <v>39</v>
      </c>
      <c r="G469">
        <v>13</v>
      </c>
      <c r="H469" t="s">
        <v>229</v>
      </c>
      <c r="I469" t="s">
        <v>230</v>
      </c>
      <c r="J469" t="s">
        <v>42</v>
      </c>
      <c r="K469" t="s">
        <v>231</v>
      </c>
      <c r="L469" t="s">
        <v>232</v>
      </c>
      <c r="M469" t="s">
        <v>45</v>
      </c>
      <c r="N469" t="s">
        <v>46</v>
      </c>
      <c r="O469">
        <v>43</v>
      </c>
      <c r="P469">
        <v>24.324324324324301</v>
      </c>
      <c r="Q469">
        <v>510.8</v>
      </c>
      <c r="R469">
        <v>0</v>
      </c>
      <c r="S469">
        <v>58.974358974358999</v>
      </c>
      <c r="T469">
        <f t="shared" si="7"/>
        <v>0.58974358974358998</v>
      </c>
      <c r="U469" t="s">
        <v>221</v>
      </c>
      <c r="V469" t="s">
        <v>48</v>
      </c>
    </row>
    <row r="470" spans="1:22" x14ac:dyDescent="0.25">
      <c r="A470">
        <v>469</v>
      </c>
      <c r="B470" t="s">
        <v>217</v>
      </c>
      <c r="C470" s="2">
        <v>43347</v>
      </c>
      <c r="D470" t="s">
        <v>37</v>
      </c>
      <c r="F470" t="s">
        <v>39</v>
      </c>
      <c r="G470">
        <v>13</v>
      </c>
      <c r="H470" t="s">
        <v>233</v>
      </c>
      <c r="I470" t="s">
        <v>234</v>
      </c>
      <c r="J470" t="s">
        <v>42</v>
      </c>
      <c r="K470" t="s">
        <v>235</v>
      </c>
      <c r="L470" t="s">
        <v>232</v>
      </c>
      <c r="M470" t="s">
        <v>45</v>
      </c>
      <c r="N470" t="s">
        <v>46</v>
      </c>
      <c r="O470">
        <v>49</v>
      </c>
      <c r="P470">
        <v>57.894736842105303</v>
      </c>
      <c r="Q470">
        <v>490.4</v>
      </c>
      <c r="R470">
        <v>1</v>
      </c>
      <c r="S470">
        <v>58.3333333333333</v>
      </c>
      <c r="T470">
        <f t="shared" si="7"/>
        <v>0.58333333333333304</v>
      </c>
      <c r="U470" t="s">
        <v>221</v>
      </c>
      <c r="V470" t="s">
        <v>48</v>
      </c>
    </row>
    <row r="471" spans="1:22" x14ac:dyDescent="0.25">
      <c r="A471">
        <v>470</v>
      </c>
      <c r="B471" t="s">
        <v>217</v>
      </c>
      <c r="C471" s="2">
        <v>43347</v>
      </c>
      <c r="D471" t="s">
        <v>37</v>
      </c>
      <c r="F471" t="s">
        <v>39</v>
      </c>
      <c r="G471">
        <v>13</v>
      </c>
      <c r="H471" t="s">
        <v>236</v>
      </c>
      <c r="I471" t="s">
        <v>237</v>
      </c>
      <c r="J471" t="s">
        <v>42</v>
      </c>
      <c r="K471" t="s">
        <v>238</v>
      </c>
      <c r="L471" t="s">
        <v>239</v>
      </c>
      <c r="M471" t="s">
        <v>45</v>
      </c>
      <c r="N471" t="s">
        <v>46</v>
      </c>
      <c r="O471">
        <v>59</v>
      </c>
      <c r="P471">
        <v>90.625</v>
      </c>
      <c r="Q471">
        <v>674.7</v>
      </c>
      <c r="R471">
        <v>1</v>
      </c>
      <c r="S471">
        <v>50.8515815085158</v>
      </c>
      <c r="T471">
        <f t="shared" si="7"/>
        <v>0.50851581508515797</v>
      </c>
      <c r="U471" t="s">
        <v>221</v>
      </c>
      <c r="V471" t="s">
        <v>48</v>
      </c>
    </row>
    <row r="472" spans="1:22" x14ac:dyDescent="0.25">
      <c r="A472">
        <v>471</v>
      </c>
      <c r="B472" t="s">
        <v>217</v>
      </c>
      <c r="C472" s="2">
        <v>43347</v>
      </c>
      <c r="D472" t="s">
        <v>37</v>
      </c>
      <c r="F472" t="s">
        <v>39</v>
      </c>
      <c r="G472">
        <v>13</v>
      </c>
      <c r="H472" t="s">
        <v>240</v>
      </c>
      <c r="I472" t="s">
        <v>241</v>
      </c>
      <c r="J472" t="s">
        <v>42</v>
      </c>
      <c r="K472" t="s">
        <v>242</v>
      </c>
      <c r="L472" t="s">
        <v>111</v>
      </c>
      <c r="M472" t="s">
        <v>45</v>
      </c>
      <c r="N472" t="s">
        <v>46</v>
      </c>
      <c r="O472">
        <v>14</v>
      </c>
      <c r="P472">
        <v>66.6666666666667</v>
      </c>
      <c r="Q472">
        <v>526.4</v>
      </c>
      <c r="R472">
        <v>0</v>
      </c>
      <c r="S472">
        <v>53.023758099352101</v>
      </c>
      <c r="T472">
        <f t="shared" si="7"/>
        <v>0.53023758099352103</v>
      </c>
      <c r="U472" t="s">
        <v>221</v>
      </c>
      <c r="V472" t="s">
        <v>48</v>
      </c>
    </row>
    <row r="473" spans="1:22" x14ac:dyDescent="0.25">
      <c r="A473">
        <v>472</v>
      </c>
      <c r="B473" t="s">
        <v>217</v>
      </c>
      <c r="C473" s="2">
        <v>43347</v>
      </c>
      <c r="D473" t="s">
        <v>37</v>
      </c>
      <c r="F473" t="s">
        <v>39</v>
      </c>
      <c r="G473">
        <v>13</v>
      </c>
      <c r="H473" t="s">
        <v>243</v>
      </c>
      <c r="I473" t="s">
        <v>244</v>
      </c>
      <c r="J473" t="s">
        <v>42</v>
      </c>
      <c r="K473" t="s">
        <v>245</v>
      </c>
      <c r="L473" t="s">
        <v>246</v>
      </c>
      <c r="M473" t="s">
        <v>45</v>
      </c>
      <c r="N473" t="s">
        <v>46</v>
      </c>
      <c r="O473">
        <v>24</v>
      </c>
      <c r="P473">
        <v>74.576271186440707</v>
      </c>
      <c r="Q473">
        <v>762.6</v>
      </c>
      <c r="R473">
        <v>0</v>
      </c>
      <c r="S473">
        <v>36.675126903553299</v>
      </c>
      <c r="T473">
        <f t="shared" si="7"/>
        <v>0.36675126903553301</v>
      </c>
      <c r="U473" t="s">
        <v>221</v>
      </c>
      <c r="V473" t="s">
        <v>48</v>
      </c>
    </row>
    <row r="474" spans="1:22" x14ac:dyDescent="0.25">
      <c r="A474">
        <v>473</v>
      </c>
      <c r="B474" t="s">
        <v>217</v>
      </c>
      <c r="C474" s="2">
        <v>43347</v>
      </c>
      <c r="D474" t="s">
        <v>37</v>
      </c>
      <c r="F474" t="s">
        <v>39</v>
      </c>
      <c r="G474">
        <v>13</v>
      </c>
      <c r="H474" t="s">
        <v>247</v>
      </c>
      <c r="I474" t="s">
        <v>248</v>
      </c>
      <c r="J474" t="s">
        <v>42</v>
      </c>
      <c r="K474" t="s">
        <v>249</v>
      </c>
      <c r="L474" t="s">
        <v>250</v>
      </c>
      <c r="M474" t="s">
        <v>45</v>
      </c>
      <c r="N474" t="s">
        <v>46</v>
      </c>
      <c r="O474">
        <v>9</v>
      </c>
      <c r="P474">
        <v>47.619047619047599</v>
      </c>
      <c r="Q474">
        <v>507.4</v>
      </c>
      <c r="R474">
        <v>0</v>
      </c>
      <c r="S474">
        <v>51.037344398340302</v>
      </c>
      <c r="T474">
        <f t="shared" si="7"/>
        <v>0.51037344398340301</v>
      </c>
      <c r="U474" t="s">
        <v>221</v>
      </c>
      <c r="V474" t="s">
        <v>48</v>
      </c>
    </row>
    <row r="475" spans="1:22" x14ac:dyDescent="0.25">
      <c r="A475">
        <v>474</v>
      </c>
      <c r="B475" t="s">
        <v>217</v>
      </c>
      <c r="C475" s="2">
        <v>43347</v>
      </c>
      <c r="D475" t="s">
        <v>37</v>
      </c>
      <c r="F475" t="s">
        <v>39</v>
      </c>
      <c r="G475">
        <v>12</v>
      </c>
      <c r="H475" t="s">
        <v>251</v>
      </c>
      <c r="I475" t="s">
        <v>252</v>
      </c>
      <c r="J475" t="s">
        <v>42</v>
      </c>
      <c r="K475" t="s">
        <v>253</v>
      </c>
      <c r="L475" t="s">
        <v>59</v>
      </c>
      <c r="M475" t="s">
        <v>45</v>
      </c>
      <c r="N475" t="s">
        <v>46</v>
      </c>
      <c r="O475">
        <v>47</v>
      </c>
      <c r="P475">
        <v>53.459119496855301</v>
      </c>
      <c r="Q475">
        <v>723.8</v>
      </c>
      <c r="R475">
        <v>0</v>
      </c>
      <c r="S475">
        <v>63.618290258449299</v>
      </c>
      <c r="T475">
        <f t="shared" si="7"/>
        <v>0.63618290258449295</v>
      </c>
      <c r="U475" t="s">
        <v>221</v>
      </c>
      <c r="V475" t="s">
        <v>48</v>
      </c>
    </row>
    <row r="476" spans="1:22" x14ac:dyDescent="0.25">
      <c r="A476">
        <v>475</v>
      </c>
      <c r="B476" t="s">
        <v>217</v>
      </c>
      <c r="C476" s="2">
        <v>43347</v>
      </c>
      <c r="D476" t="s">
        <v>37</v>
      </c>
      <c r="F476" t="s">
        <v>39</v>
      </c>
      <c r="G476">
        <v>13</v>
      </c>
      <c r="H476" t="s">
        <v>254</v>
      </c>
      <c r="I476" t="s">
        <v>255</v>
      </c>
      <c r="J476" t="s">
        <v>42</v>
      </c>
      <c r="K476" t="s">
        <v>256</v>
      </c>
      <c r="L476" t="s">
        <v>177</v>
      </c>
      <c r="M476" t="s">
        <v>101</v>
      </c>
      <c r="N476" t="s">
        <v>257</v>
      </c>
      <c r="O476">
        <v>120</v>
      </c>
      <c r="P476">
        <v>50</v>
      </c>
      <c r="Q476">
        <v>515.6</v>
      </c>
      <c r="R476">
        <v>1</v>
      </c>
      <c r="S476">
        <v>57.879377431906597</v>
      </c>
      <c r="T476">
        <f t="shared" si="7"/>
        <v>0.57879377431906598</v>
      </c>
      <c r="U476" t="s">
        <v>221</v>
      </c>
      <c r="V476" t="s">
        <v>48</v>
      </c>
    </row>
    <row r="477" spans="1:22" x14ac:dyDescent="0.25">
      <c r="A477">
        <v>476</v>
      </c>
      <c r="B477" t="s">
        <v>217</v>
      </c>
      <c r="C477" s="2">
        <v>43347</v>
      </c>
      <c r="D477" t="s">
        <v>37</v>
      </c>
      <c r="F477" t="s">
        <v>39</v>
      </c>
      <c r="G477">
        <v>13</v>
      </c>
      <c r="H477" t="s">
        <v>258</v>
      </c>
      <c r="I477" t="s">
        <v>259</v>
      </c>
      <c r="J477" t="s">
        <v>42</v>
      </c>
      <c r="K477" t="s">
        <v>260</v>
      </c>
      <c r="L477" t="s">
        <v>261</v>
      </c>
      <c r="M477" t="s">
        <v>45</v>
      </c>
      <c r="N477" t="s">
        <v>257</v>
      </c>
      <c r="O477">
        <v>35</v>
      </c>
      <c r="P477">
        <v>79.296875</v>
      </c>
      <c r="Q477">
        <v>761.8</v>
      </c>
      <c r="R477">
        <v>0</v>
      </c>
      <c r="S477">
        <v>52.649006622516602</v>
      </c>
      <c r="T477">
        <f t="shared" si="7"/>
        <v>0.52649006622516603</v>
      </c>
      <c r="U477" t="s">
        <v>221</v>
      </c>
      <c r="V477" t="s">
        <v>48</v>
      </c>
    </row>
    <row r="478" spans="1:22" x14ac:dyDescent="0.25">
      <c r="A478">
        <v>477</v>
      </c>
      <c r="B478" t="s">
        <v>217</v>
      </c>
      <c r="C478" s="2">
        <v>43347</v>
      </c>
      <c r="D478" t="s">
        <v>37</v>
      </c>
      <c r="F478" t="s">
        <v>39</v>
      </c>
      <c r="G478">
        <v>13</v>
      </c>
      <c r="H478" t="s">
        <v>262</v>
      </c>
      <c r="I478" t="s">
        <v>263</v>
      </c>
      <c r="J478" t="s">
        <v>42</v>
      </c>
      <c r="K478" t="s">
        <v>264</v>
      </c>
      <c r="L478" t="s">
        <v>111</v>
      </c>
      <c r="M478" t="s">
        <v>101</v>
      </c>
      <c r="N478" t="s">
        <v>257</v>
      </c>
      <c r="O478">
        <v>34</v>
      </c>
      <c r="P478">
        <v>54.320987654321002</v>
      </c>
      <c r="Q478">
        <v>612.79999999999995</v>
      </c>
      <c r="R478">
        <v>0</v>
      </c>
      <c r="S478">
        <v>57.173913043478301</v>
      </c>
      <c r="T478">
        <f t="shared" si="7"/>
        <v>0.57173913043478297</v>
      </c>
      <c r="U478" t="s">
        <v>221</v>
      </c>
      <c r="V478" t="s">
        <v>48</v>
      </c>
    </row>
    <row r="479" spans="1:22" x14ac:dyDescent="0.25">
      <c r="A479">
        <v>478</v>
      </c>
      <c r="B479" t="s">
        <v>217</v>
      </c>
      <c r="C479" s="2">
        <v>43347</v>
      </c>
      <c r="D479" t="s">
        <v>37</v>
      </c>
      <c r="F479" t="s">
        <v>39</v>
      </c>
      <c r="G479">
        <v>13</v>
      </c>
      <c r="H479" t="s">
        <v>265</v>
      </c>
      <c r="I479" t="s">
        <v>266</v>
      </c>
      <c r="J479" t="s">
        <v>42</v>
      </c>
      <c r="K479" t="s">
        <v>267</v>
      </c>
      <c r="L479" t="s">
        <v>268</v>
      </c>
      <c r="M479" t="s">
        <v>45</v>
      </c>
      <c r="N479" t="s">
        <v>257</v>
      </c>
      <c r="O479">
        <v>104</v>
      </c>
      <c r="P479">
        <v>57.831325301204799</v>
      </c>
      <c r="Q479">
        <v>615.70000000000005</v>
      </c>
      <c r="R479">
        <v>0</v>
      </c>
      <c r="S479">
        <v>65.595463137996205</v>
      </c>
      <c r="T479">
        <f t="shared" si="7"/>
        <v>0.65595463137996202</v>
      </c>
      <c r="U479" t="s">
        <v>221</v>
      </c>
      <c r="V479" t="s">
        <v>48</v>
      </c>
    </row>
    <row r="480" spans="1:22" x14ac:dyDescent="0.25">
      <c r="A480">
        <v>479</v>
      </c>
      <c r="B480" t="s">
        <v>217</v>
      </c>
      <c r="C480" s="2">
        <v>43347</v>
      </c>
      <c r="D480" t="s">
        <v>37</v>
      </c>
      <c r="F480" t="s">
        <v>39</v>
      </c>
      <c r="G480">
        <v>13</v>
      </c>
      <c r="H480" t="s">
        <v>269</v>
      </c>
      <c r="I480" t="s">
        <v>270</v>
      </c>
      <c r="J480" t="s">
        <v>42</v>
      </c>
      <c r="K480" t="s">
        <v>271</v>
      </c>
      <c r="L480" t="s">
        <v>111</v>
      </c>
      <c r="M480" t="s">
        <v>45</v>
      </c>
      <c r="N480" t="s">
        <v>257</v>
      </c>
      <c r="O480">
        <v>120</v>
      </c>
      <c r="P480">
        <v>40</v>
      </c>
      <c r="Q480">
        <v>502.9</v>
      </c>
      <c r="R480">
        <v>1</v>
      </c>
      <c r="S480">
        <v>81.929181929181894</v>
      </c>
      <c r="T480">
        <f t="shared" si="7"/>
        <v>0.81929181929181893</v>
      </c>
      <c r="U480" t="s">
        <v>221</v>
      </c>
      <c r="V480" t="s">
        <v>48</v>
      </c>
    </row>
    <row r="481" spans="1:22" x14ac:dyDescent="0.25">
      <c r="A481">
        <v>480</v>
      </c>
      <c r="B481" t="s">
        <v>217</v>
      </c>
      <c r="C481" s="2">
        <v>43347</v>
      </c>
      <c r="D481" t="s">
        <v>37</v>
      </c>
      <c r="F481" t="s">
        <v>39</v>
      </c>
      <c r="G481">
        <v>13</v>
      </c>
      <c r="H481" t="s">
        <v>272</v>
      </c>
      <c r="I481" t="s">
        <v>273</v>
      </c>
      <c r="J481" t="s">
        <v>42</v>
      </c>
      <c r="K481" t="s">
        <v>274</v>
      </c>
      <c r="L481" t="s">
        <v>275</v>
      </c>
      <c r="M481" t="s">
        <v>101</v>
      </c>
      <c r="N481" t="s">
        <v>257</v>
      </c>
      <c r="O481">
        <v>120</v>
      </c>
      <c r="P481">
        <v>52.820512820512803</v>
      </c>
      <c r="Q481">
        <v>590.9</v>
      </c>
      <c r="R481">
        <v>1</v>
      </c>
      <c r="S481">
        <v>63.0811303555151</v>
      </c>
      <c r="T481">
        <f t="shared" si="7"/>
        <v>0.63081130355515103</v>
      </c>
      <c r="U481" t="s">
        <v>221</v>
      </c>
      <c r="V481" t="s">
        <v>48</v>
      </c>
    </row>
    <row r="482" spans="1:22" x14ac:dyDescent="0.25">
      <c r="A482">
        <v>481</v>
      </c>
      <c r="B482" t="s">
        <v>217</v>
      </c>
      <c r="C482" s="2">
        <v>43347</v>
      </c>
      <c r="D482" t="s">
        <v>37</v>
      </c>
      <c r="F482" t="s">
        <v>39</v>
      </c>
      <c r="G482">
        <v>13</v>
      </c>
      <c r="H482" t="s">
        <v>276</v>
      </c>
      <c r="I482" t="s">
        <v>277</v>
      </c>
      <c r="J482" t="s">
        <v>42</v>
      </c>
      <c r="K482" t="s">
        <v>278</v>
      </c>
      <c r="L482" t="s">
        <v>177</v>
      </c>
      <c r="M482" t="s">
        <v>101</v>
      </c>
      <c r="N482" t="s">
        <v>257</v>
      </c>
      <c r="O482">
        <v>59</v>
      </c>
      <c r="P482">
        <v>77.832512315270904</v>
      </c>
      <c r="Q482">
        <v>761.4</v>
      </c>
      <c r="R482">
        <v>0</v>
      </c>
      <c r="S482">
        <v>50.185873605947897</v>
      </c>
      <c r="T482">
        <f t="shared" si="7"/>
        <v>0.50185873605947895</v>
      </c>
      <c r="U482" t="s">
        <v>221</v>
      </c>
      <c r="V482" t="s">
        <v>48</v>
      </c>
    </row>
    <row r="483" spans="1:22" x14ac:dyDescent="0.25">
      <c r="A483">
        <v>482</v>
      </c>
      <c r="B483" t="s">
        <v>217</v>
      </c>
      <c r="C483" s="2">
        <v>43347</v>
      </c>
      <c r="D483" t="s">
        <v>37</v>
      </c>
      <c r="F483" t="s">
        <v>39</v>
      </c>
      <c r="G483">
        <v>13</v>
      </c>
      <c r="H483" t="s">
        <v>279</v>
      </c>
      <c r="I483" t="s">
        <v>280</v>
      </c>
      <c r="J483" t="s">
        <v>42</v>
      </c>
      <c r="K483" t="s">
        <v>281</v>
      </c>
      <c r="L483" t="s">
        <v>177</v>
      </c>
      <c r="M483" t="s">
        <v>45</v>
      </c>
      <c r="N483" t="s">
        <v>257</v>
      </c>
      <c r="O483">
        <v>26</v>
      </c>
      <c r="P483">
        <v>65.384615384615401</v>
      </c>
      <c r="Q483">
        <v>512.70000000000005</v>
      </c>
      <c r="R483">
        <v>0</v>
      </c>
      <c r="S483">
        <v>55.145631067961197</v>
      </c>
      <c r="T483">
        <f t="shared" si="7"/>
        <v>0.55145631067961198</v>
      </c>
      <c r="U483" t="s">
        <v>221</v>
      </c>
      <c r="V483" t="s">
        <v>48</v>
      </c>
    </row>
    <row r="484" spans="1:22" x14ac:dyDescent="0.25">
      <c r="A484">
        <v>483</v>
      </c>
      <c r="B484" t="s">
        <v>217</v>
      </c>
      <c r="C484" s="2">
        <v>43347</v>
      </c>
      <c r="D484" t="s">
        <v>37</v>
      </c>
      <c r="F484" t="s">
        <v>39</v>
      </c>
      <c r="G484">
        <v>13</v>
      </c>
      <c r="H484" t="s">
        <v>282</v>
      </c>
      <c r="I484" t="s">
        <v>283</v>
      </c>
      <c r="J484" t="s">
        <v>42</v>
      </c>
      <c r="K484" t="s">
        <v>284</v>
      </c>
      <c r="L484" t="s">
        <v>285</v>
      </c>
      <c r="M484" t="s">
        <v>101</v>
      </c>
      <c r="N484" t="s">
        <v>257</v>
      </c>
      <c r="O484">
        <v>120</v>
      </c>
      <c r="P484">
        <v>36.6666666666667</v>
      </c>
      <c r="Q484">
        <v>513.9</v>
      </c>
      <c r="R484">
        <v>1</v>
      </c>
      <c r="S484">
        <v>52.368421052631597</v>
      </c>
      <c r="T484">
        <f t="shared" si="7"/>
        <v>0.52368421052631597</v>
      </c>
      <c r="U484" t="s">
        <v>221</v>
      </c>
      <c r="V484" t="s">
        <v>48</v>
      </c>
    </row>
    <row r="485" spans="1:22" x14ac:dyDescent="0.25">
      <c r="A485">
        <v>484</v>
      </c>
      <c r="B485" t="s">
        <v>217</v>
      </c>
      <c r="C485" s="2">
        <v>43347</v>
      </c>
      <c r="D485" t="s">
        <v>37</v>
      </c>
      <c r="F485" t="s">
        <v>39</v>
      </c>
      <c r="G485">
        <v>13</v>
      </c>
      <c r="H485" t="s">
        <v>286</v>
      </c>
      <c r="I485" t="s">
        <v>287</v>
      </c>
      <c r="J485" t="s">
        <v>42</v>
      </c>
      <c r="K485" t="s">
        <v>288</v>
      </c>
      <c r="L485" t="s">
        <v>289</v>
      </c>
      <c r="M485" t="s">
        <v>45</v>
      </c>
      <c r="N485" t="s">
        <v>257</v>
      </c>
      <c r="O485">
        <v>55</v>
      </c>
      <c r="P485">
        <v>68.163265306122398</v>
      </c>
      <c r="Q485">
        <v>751.5</v>
      </c>
      <c r="R485">
        <v>0</v>
      </c>
      <c r="S485">
        <v>53.496868475991597</v>
      </c>
      <c r="T485">
        <f t="shared" si="7"/>
        <v>0.53496868475991599</v>
      </c>
      <c r="U485" t="s">
        <v>221</v>
      </c>
      <c r="V485" t="s">
        <v>48</v>
      </c>
    </row>
    <row r="486" spans="1:22" x14ac:dyDescent="0.25">
      <c r="A486">
        <v>485</v>
      </c>
      <c r="B486" t="s">
        <v>217</v>
      </c>
      <c r="C486" s="2">
        <v>43347</v>
      </c>
      <c r="D486" t="s">
        <v>37</v>
      </c>
      <c r="F486" t="s">
        <v>39</v>
      </c>
      <c r="G486">
        <v>13</v>
      </c>
      <c r="H486" t="s">
        <v>290</v>
      </c>
      <c r="I486" t="s">
        <v>291</v>
      </c>
      <c r="J486" t="s">
        <v>42</v>
      </c>
      <c r="K486" t="s">
        <v>292</v>
      </c>
      <c r="L486" t="s">
        <v>293</v>
      </c>
      <c r="M486" t="s">
        <v>101</v>
      </c>
      <c r="N486" t="s">
        <v>294</v>
      </c>
      <c r="O486">
        <v>28</v>
      </c>
      <c r="P486">
        <v>70.9677419354839</v>
      </c>
      <c r="Q486">
        <v>611.4</v>
      </c>
      <c r="R486">
        <v>0</v>
      </c>
      <c r="S486">
        <v>60.8272506082725</v>
      </c>
      <c r="T486">
        <f t="shared" si="7"/>
        <v>0.60827250608272498</v>
      </c>
      <c r="U486" t="s">
        <v>221</v>
      </c>
      <c r="V486" t="s">
        <v>295</v>
      </c>
    </row>
    <row r="487" spans="1:22" x14ac:dyDescent="0.25">
      <c r="A487">
        <v>486</v>
      </c>
      <c r="B487" t="s">
        <v>217</v>
      </c>
      <c r="C487" s="2">
        <v>43347</v>
      </c>
      <c r="D487" t="s">
        <v>37</v>
      </c>
      <c r="F487" t="s">
        <v>39</v>
      </c>
      <c r="G487">
        <v>13</v>
      </c>
      <c r="H487" t="s">
        <v>296</v>
      </c>
      <c r="I487" t="s">
        <v>297</v>
      </c>
      <c r="J487" t="s">
        <v>42</v>
      </c>
      <c r="K487" t="s">
        <v>298</v>
      </c>
      <c r="L487" t="s">
        <v>293</v>
      </c>
      <c r="M487" t="s">
        <v>101</v>
      </c>
      <c r="N487" t="s">
        <v>294</v>
      </c>
      <c r="O487">
        <v>12</v>
      </c>
      <c r="P487">
        <v>58.015267175572497</v>
      </c>
      <c r="Q487">
        <v>724.8</v>
      </c>
      <c r="R487">
        <v>0</v>
      </c>
      <c r="S487">
        <v>72.530329289428096</v>
      </c>
      <c r="T487">
        <f t="shared" si="7"/>
        <v>0.72530329289428097</v>
      </c>
      <c r="U487" t="s">
        <v>221</v>
      </c>
      <c r="V487" t="s">
        <v>295</v>
      </c>
    </row>
    <row r="488" spans="1:22" x14ac:dyDescent="0.25">
      <c r="A488">
        <v>487</v>
      </c>
      <c r="B488" t="s">
        <v>217</v>
      </c>
      <c r="C488" s="2">
        <v>43347</v>
      </c>
      <c r="D488" t="s">
        <v>37</v>
      </c>
      <c r="F488" t="s">
        <v>39</v>
      </c>
      <c r="G488">
        <v>13</v>
      </c>
      <c r="H488" t="s">
        <v>299</v>
      </c>
      <c r="I488" t="s">
        <v>300</v>
      </c>
      <c r="J488" t="s">
        <v>42</v>
      </c>
      <c r="K488" t="s">
        <v>301</v>
      </c>
      <c r="L488" t="s">
        <v>302</v>
      </c>
      <c r="M488" t="s">
        <v>45</v>
      </c>
      <c r="N488" t="s">
        <v>294</v>
      </c>
      <c r="O488">
        <v>17</v>
      </c>
      <c r="P488">
        <v>62.5</v>
      </c>
      <c r="Q488">
        <v>510.1</v>
      </c>
      <c r="R488">
        <v>0</v>
      </c>
      <c r="S488">
        <v>69.308357348703197</v>
      </c>
      <c r="T488">
        <f t="shared" si="7"/>
        <v>0.69308357348703198</v>
      </c>
      <c r="U488" t="s">
        <v>221</v>
      </c>
      <c r="V488" t="s">
        <v>295</v>
      </c>
    </row>
    <row r="489" spans="1:22" x14ac:dyDescent="0.25">
      <c r="A489">
        <v>488</v>
      </c>
      <c r="B489" t="s">
        <v>217</v>
      </c>
      <c r="C489" s="2">
        <v>43347</v>
      </c>
      <c r="D489" t="s">
        <v>37</v>
      </c>
      <c r="F489" t="s">
        <v>39</v>
      </c>
      <c r="G489">
        <v>13</v>
      </c>
      <c r="H489" t="s">
        <v>303</v>
      </c>
      <c r="I489" t="s">
        <v>304</v>
      </c>
      <c r="J489" t="s">
        <v>42</v>
      </c>
      <c r="K489" t="s">
        <v>305</v>
      </c>
      <c r="L489" t="s">
        <v>250</v>
      </c>
      <c r="M489" t="s">
        <v>101</v>
      </c>
      <c r="N489" t="s">
        <v>294</v>
      </c>
      <c r="O489">
        <v>57</v>
      </c>
      <c r="P489">
        <v>86.904761904761898</v>
      </c>
      <c r="Q489">
        <v>649.5</v>
      </c>
      <c r="R489">
        <v>0</v>
      </c>
      <c r="S489">
        <v>61.934900542495498</v>
      </c>
      <c r="T489">
        <f t="shared" si="7"/>
        <v>0.61934900542495497</v>
      </c>
      <c r="U489" t="s">
        <v>221</v>
      </c>
      <c r="V489" t="s">
        <v>295</v>
      </c>
    </row>
    <row r="490" spans="1:22" x14ac:dyDescent="0.25">
      <c r="A490">
        <v>489</v>
      </c>
      <c r="B490" t="s">
        <v>217</v>
      </c>
      <c r="C490" s="2">
        <v>43347</v>
      </c>
      <c r="D490" t="s">
        <v>37</v>
      </c>
      <c r="F490" t="s">
        <v>39</v>
      </c>
      <c r="G490">
        <v>13</v>
      </c>
      <c r="H490" t="s">
        <v>306</v>
      </c>
      <c r="I490" t="s">
        <v>307</v>
      </c>
      <c r="J490" t="s">
        <v>42</v>
      </c>
      <c r="K490" t="s">
        <v>308</v>
      </c>
      <c r="L490" t="s">
        <v>250</v>
      </c>
      <c r="M490" t="s">
        <v>101</v>
      </c>
      <c r="N490" t="s">
        <v>294</v>
      </c>
      <c r="O490">
        <v>30</v>
      </c>
      <c r="P490">
        <v>10.526315789473699</v>
      </c>
      <c r="Q490">
        <v>789.7</v>
      </c>
      <c r="R490">
        <v>0</v>
      </c>
      <c r="S490">
        <v>44.6504992867333</v>
      </c>
      <c r="T490">
        <f t="shared" si="7"/>
        <v>0.44650499286733303</v>
      </c>
      <c r="U490" t="s">
        <v>221</v>
      </c>
      <c r="V490" t="s">
        <v>295</v>
      </c>
    </row>
    <row r="491" spans="1:22" x14ac:dyDescent="0.25">
      <c r="A491">
        <v>490</v>
      </c>
      <c r="B491" t="s">
        <v>217</v>
      </c>
      <c r="C491" s="2">
        <v>43347</v>
      </c>
      <c r="D491" t="s">
        <v>37</v>
      </c>
      <c r="F491" t="s">
        <v>39</v>
      </c>
      <c r="G491">
        <v>13</v>
      </c>
      <c r="H491" t="s">
        <v>309</v>
      </c>
      <c r="I491" t="s">
        <v>310</v>
      </c>
      <c r="J491" t="s">
        <v>42</v>
      </c>
      <c r="K491" t="s">
        <v>311</v>
      </c>
      <c r="L491" t="s">
        <v>250</v>
      </c>
      <c r="M491" t="s">
        <v>101</v>
      </c>
      <c r="N491" t="s">
        <v>294</v>
      </c>
      <c r="O491">
        <v>120</v>
      </c>
      <c r="P491">
        <v>70.422535211267601</v>
      </c>
      <c r="Q491">
        <v>652.20000000000005</v>
      </c>
      <c r="R491">
        <v>1</v>
      </c>
      <c r="S491">
        <v>63.817097415507</v>
      </c>
      <c r="T491">
        <f t="shared" si="7"/>
        <v>0.63817097415506996</v>
      </c>
      <c r="U491" t="s">
        <v>221</v>
      </c>
      <c r="V491" t="s">
        <v>295</v>
      </c>
    </row>
    <row r="492" spans="1:22" x14ac:dyDescent="0.25">
      <c r="A492">
        <v>491</v>
      </c>
      <c r="B492" t="s">
        <v>217</v>
      </c>
      <c r="C492" s="2">
        <v>43347</v>
      </c>
      <c r="D492" t="s">
        <v>37</v>
      </c>
      <c r="F492" t="s">
        <v>39</v>
      </c>
      <c r="G492">
        <v>13</v>
      </c>
      <c r="H492" t="s">
        <v>312</v>
      </c>
      <c r="I492" t="s">
        <v>313</v>
      </c>
      <c r="J492" t="s">
        <v>42</v>
      </c>
      <c r="K492" t="s">
        <v>314</v>
      </c>
      <c r="L492" t="s">
        <v>250</v>
      </c>
      <c r="M492" t="s">
        <v>101</v>
      </c>
      <c r="N492" t="s">
        <v>294</v>
      </c>
      <c r="O492">
        <v>23</v>
      </c>
      <c r="P492">
        <v>62.176165803108802</v>
      </c>
      <c r="Q492">
        <v>740.9</v>
      </c>
      <c r="R492">
        <v>0</v>
      </c>
      <c r="S492">
        <v>49.174630755864499</v>
      </c>
      <c r="T492">
        <f t="shared" si="7"/>
        <v>0.49174630755864501</v>
      </c>
      <c r="U492" t="s">
        <v>221</v>
      </c>
      <c r="V492" t="s">
        <v>295</v>
      </c>
    </row>
    <row r="493" spans="1:22" x14ac:dyDescent="0.25">
      <c r="A493">
        <v>492</v>
      </c>
      <c r="B493" t="s">
        <v>217</v>
      </c>
      <c r="C493" s="2">
        <v>43347</v>
      </c>
      <c r="D493" t="s">
        <v>37</v>
      </c>
      <c r="F493" t="s">
        <v>39</v>
      </c>
      <c r="G493">
        <v>13</v>
      </c>
      <c r="H493" t="s">
        <v>315</v>
      </c>
      <c r="I493" t="s">
        <v>316</v>
      </c>
      <c r="J493" t="s">
        <v>42</v>
      </c>
      <c r="K493" t="s">
        <v>317</v>
      </c>
      <c r="L493" t="s">
        <v>185</v>
      </c>
      <c r="M493" t="s">
        <v>101</v>
      </c>
      <c r="N493" t="s">
        <v>294</v>
      </c>
      <c r="O493">
        <v>27</v>
      </c>
      <c r="P493">
        <v>77.272727272727295</v>
      </c>
      <c r="Q493">
        <v>801</v>
      </c>
      <c r="R493">
        <v>0</v>
      </c>
      <c r="S493">
        <v>51.089108910891099</v>
      </c>
      <c r="T493">
        <f t="shared" si="7"/>
        <v>0.51089108910891101</v>
      </c>
      <c r="U493" t="s">
        <v>221</v>
      </c>
      <c r="V493" t="s">
        <v>295</v>
      </c>
    </row>
    <row r="494" spans="1:22" x14ac:dyDescent="0.25">
      <c r="A494">
        <v>493</v>
      </c>
      <c r="B494" t="s">
        <v>217</v>
      </c>
      <c r="C494" s="2">
        <v>43347</v>
      </c>
      <c r="D494" t="s">
        <v>37</v>
      </c>
      <c r="F494" t="s">
        <v>39</v>
      </c>
      <c r="G494">
        <v>13</v>
      </c>
      <c r="H494" t="s">
        <v>318</v>
      </c>
      <c r="I494" t="s">
        <v>319</v>
      </c>
      <c r="J494" t="s">
        <v>109</v>
      </c>
      <c r="K494" t="s">
        <v>320</v>
      </c>
      <c r="L494" t="s">
        <v>185</v>
      </c>
      <c r="M494" t="s">
        <v>101</v>
      </c>
      <c r="N494" t="s">
        <v>294</v>
      </c>
      <c r="O494">
        <v>44</v>
      </c>
      <c r="P494">
        <v>38.679245283018901</v>
      </c>
      <c r="Q494">
        <v>726.2</v>
      </c>
      <c r="R494">
        <v>0</v>
      </c>
      <c r="S494">
        <v>39.562841530054598</v>
      </c>
      <c r="T494">
        <f t="shared" si="7"/>
        <v>0.39562841530054599</v>
      </c>
      <c r="U494" t="s">
        <v>221</v>
      </c>
      <c r="V494" t="s">
        <v>295</v>
      </c>
    </row>
    <row r="495" spans="1:22" x14ac:dyDescent="0.25">
      <c r="A495">
        <v>494</v>
      </c>
      <c r="B495" t="s">
        <v>217</v>
      </c>
      <c r="C495" s="2">
        <v>43347</v>
      </c>
      <c r="D495" t="s">
        <v>37</v>
      </c>
      <c r="F495" t="s">
        <v>39</v>
      </c>
      <c r="G495">
        <v>13</v>
      </c>
      <c r="H495" t="s">
        <v>321</v>
      </c>
      <c r="I495" t="s">
        <v>322</v>
      </c>
      <c r="J495" t="s">
        <v>42</v>
      </c>
      <c r="K495" t="s">
        <v>323</v>
      </c>
      <c r="L495" t="s">
        <v>185</v>
      </c>
      <c r="M495" t="s">
        <v>101</v>
      </c>
      <c r="N495" t="s">
        <v>294</v>
      </c>
      <c r="O495">
        <v>19</v>
      </c>
      <c r="P495">
        <v>59.375</v>
      </c>
      <c r="Q495">
        <v>650.6</v>
      </c>
      <c r="R495">
        <v>0</v>
      </c>
      <c r="S495">
        <v>47.134502923976598</v>
      </c>
      <c r="T495">
        <f t="shared" si="7"/>
        <v>0.47134502923976596</v>
      </c>
      <c r="U495" t="s">
        <v>221</v>
      </c>
      <c r="V495" t="s">
        <v>295</v>
      </c>
    </row>
    <row r="496" spans="1:22" x14ac:dyDescent="0.25">
      <c r="A496">
        <v>495</v>
      </c>
      <c r="B496" t="s">
        <v>217</v>
      </c>
      <c r="C496" s="2">
        <v>43355</v>
      </c>
      <c r="D496" t="s">
        <v>37</v>
      </c>
      <c r="F496" t="s">
        <v>39</v>
      </c>
      <c r="G496">
        <v>14</v>
      </c>
      <c r="H496" t="s">
        <v>218</v>
      </c>
      <c r="I496" t="s">
        <v>219</v>
      </c>
      <c r="J496" t="s">
        <v>42</v>
      </c>
      <c r="K496" t="s">
        <v>220</v>
      </c>
      <c r="L496" t="s">
        <v>44</v>
      </c>
      <c r="M496" t="s">
        <v>45</v>
      </c>
      <c r="N496" t="s">
        <v>46</v>
      </c>
      <c r="O496">
        <v>34</v>
      </c>
      <c r="P496">
        <v>71.014492753623202</v>
      </c>
      <c r="Q496">
        <v>595.9</v>
      </c>
      <c r="R496">
        <v>0</v>
      </c>
      <c r="S496">
        <v>52.4444444444444</v>
      </c>
      <c r="T496">
        <f t="shared" si="7"/>
        <v>0.52444444444444405</v>
      </c>
      <c r="U496" t="s">
        <v>221</v>
      </c>
      <c r="V496" t="s">
        <v>48</v>
      </c>
    </row>
    <row r="497" spans="1:22" x14ac:dyDescent="0.25">
      <c r="A497">
        <v>496</v>
      </c>
      <c r="B497" t="s">
        <v>217</v>
      </c>
      <c r="C497" s="2">
        <v>43355</v>
      </c>
      <c r="D497" t="s">
        <v>37</v>
      </c>
      <c r="F497" t="s">
        <v>39</v>
      </c>
      <c r="G497">
        <v>14</v>
      </c>
      <c r="H497" t="s">
        <v>222</v>
      </c>
      <c r="I497" t="s">
        <v>223</v>
      </c>
      <c r="J497" t="s">
        <v>42</v>
      </c>
      <c r="K497" t="s">
        <v>224</v>
      </c>
      <c r="L497" t="s">
        <v>225</v>
      </c>
      <c r="M497" t="s">
        <v>45</v>
      </c>
      <c r="N497" t="s">
        <v>46</v>
      </c>
      <c r="O497">
        <v>32</v>
      </c>
      <c r="P497">
        <v>18.181818181818201</v>
      </c>
      <c r="Q497">
        <v>509.3</v>
      </c>
      <c r="R497">
        <v>0</v>
      </c>
      <c r="S497">
        <v>50.485436893203897</v>
      </c>
      <c r="T497">
        <f t="shared" si="7"/>
        <v>0.50485436893203894</v>
      </c>
      <c r="U497" t="s">
        <v>221</v>
      </c>
      <c r="V497" t="s">
        <v>48</v>
      </c>
    </row>
    <row r="498" spans="1:22" x14ac:dyDescent="0.25">
      <c r="A498">
        <v>497</v>
      </c>
      <c r="B498" t="s">
        <v>217</v>
      </c>
      <c r="C498" s="2">
        <v>43355</v>
      </c>
      <c r="D498" t="s">
        <v>37</v>
      </c>
      <c r="F498" t="s">
        <v>39</v>
      </c>
      <c r="G498">
        <v>14</v>
      </c>
      <c r="H498" t="s">
        <v>226</v>
      </c>
      <c r="I498" t="s">
        <v>227</v>
      </c>
      <c r="J498" t="s">
        <v>42</v>
      </c>
      <c r="K498" t="s">
        <v>228</v>
      </c>
      <c r="L498" t="s">
        <v>225</v>
      </c>
      <c r="M498" t="s">
        <v>45</v>
      </c>
      <c r="N498" t="s">
        <v>46</v>
      </c>
      <c r="O498">
        <v>10</v>
      </c>
      <c r="P498">
        <v>54.285714285714299</v>
      </c>
      <c r="Q498">
        <v>683.5</v>
      </c>
      <c r="R498">
        <v>0</v>
      </c>
      <c r="S498">
        <v>45.703611457036097</v>
      </c>
      <c r="T498">
        <f t="shared" si="7"/>
        <v>0.45703611457036097</v>
      </c>
      <c r="U498" t="s">
        <v>221</v>
      </c>
      <c r="V498" t="s">
        <v>48</v>
      </c>
    </row>
    <row r="499" spans="1:22" x14ac:dyDescent="0.25">
      <c r="A499">
        <v>498</v>
      </c>
      <c r="B499" t="s">
        <v>217</v>
      </c>
      <c r="C499" s="2">
        <v>43355</v>
      </c>
      <c r="D499" t="s">
        <v>37</v>
      </c>
      <c r="F499" t="s">
        <v>39</v>
      </c>
      <c r="G499">
        <v>14</v>
      </c>
      <c r="H499" t="s">
        <v>229</v>
      </c>
      <c r="I499" t="s">
        <v>230</v>
      </c>
      <c r="J499" t="s">
        <v>42</v>
      </c>
      <c r="K499" t="s">
        <v>231</v>
      </c>
      <c r="L499" t="s">
        <v>232</v>
      </c>
      <c r="M499" t="s">
        <v>45</v>
      </c>
      <c r="N499" t="s">
        <v>46</v>
      </c>
      <c r="O499">
        <v>44</v>
      </c>
      <c r="P499">
        <v>27.7777777777778</v>
      </c>
      <c r="Q499">
        <v>514.4</v>
      </c>
      <c r="R499">
        <v>0</v>
      </c>
      <c r="S499">
        <v>63.473053892215603</v>
      </c>
      <c r="T499">
        <f t="shared" si="7"/>
        <v>0.63473053892215603</v>
      </c>
      <c r="U499" t="s">
        <v>221</v>
      </c>
      <c r="V499" t="s">
        <v>48</v>
      </c>
    </row>
    <row r="500" spans="1:22" x14ac:dyDescent="0.25">
      <c r="A500">
        <v>499</v>
      </c>
      <c r="B500" t="s">
        <v>217</v>
      </c>
      <c r="C500" s="2">
        <v>43355</v>
      </c>
      <c r="D500" t="s">
        <v>37</v>
      </c>
      <c r="F500" t="s">
        <v>39</v>
      </c>
      <c r="G500">
        <v>14</v>
      </c>
      <c r="H500" t="s">
        <v>233</v>
      </c>
      <c r="I500" t="s">
        <v>234</v>
      </c>
      <c r="J500" t="s">
        <v>42</v>
      </c>
      <c r="K500" t="s">
        <v>235</v>
      </c>
      <c r="L500" t="s">
        <v>232</v>
      </c>
      <c r="M500" t="s">
        <v>45</v>
      </c>
      <c r="N500" t="s">
        <v>46</v>
      </c>
      <c r="O500">
        <v>43</v>
      </c>
      <c r="P500">
        <v>71.428571428571402</v>
      </c>
      <c r="Q500">
        <v>581.1</v>
      </c>
      <c r="R500">
        <v>0</v>
      </c>
      <c r="S500">
        <v>62.872628726287303</v>
      </c>
      <c r="T500">
        <f t="shared" si="7"/>
        <v>0.62872628726287305</v>
      </c>
      <c r="U500" t="s">
        <v>221</v>
      </c>
      <c r="V500" t="s">
        <v>48</v>
      </c>
    </row>
    <row r="501" spans="1:22" x14ac:dyDescent="0.25">
      <c r="A501">
        <v>500</v>
      </c>
      <c r="B501" t="s">
        <v>217</v>
      </c>
      <c r="C501" s="2">
        <v>43355</v>
      </c>
      <c r="D501" t="s">
        <v>37</v>
      </c>
      <c r="F501" t="s">
        <v>39</v>
      </c>
      <c r="G501">
        <v>14</v>
      </c>
      <c r="H501" t="s">
        <v>236</v>
      </c>
      <c r="I501" t="s">
        <v>237</v>
      </c>
      <c r="J501" t="s">
        <v>42</v>
      </c>
      <c r="K501" t="s">
        <v>238</v>
      </c>
      <c r="L501" t="s">
        <v>239</v>
      </c>
      <c r="M501" t="s">
        <v>45</v>
      </c>
      <c r="N501" t="s">
        <v>46</v>
      </c>
      <c r="O501">
        <v>25</v>
      </c>
      <c r="P501">
        <v>62.5</v>
      </c>
      <c r="Q501">
        <v>500.9</v>
      </c>
      <c r="R501">
        <v>0</v>
      </c>
      <c r="S501">
        <v>48.4931506849315</v>
      </c>
      <c r="T501">
        <f t="shared" si="7"/>
        <v>0.48493150684931502</v>
      </c>
      <c r="U501" t="s">
        <v>221</v>
      </c>
      <c r="V501" t="s">
        <v>48</v>
      </c>
    </row>
    <row r="502" spans="1:22" x14ac:dyDescent="0.25">
      <c r="A502">
        <v>501</v>
      </c>
      <c r="B502" t="s">
        <v>217</v>
      </c>
      <c r="C502" s="2">
        <v>43355</v>
      </c>
      <c r="D502" t="s">
        <v>37</v>
      </c>
      <c r="F502" t="s">
        <v>39</v>
      </c>
      <c r="G502">
        <v>14</v>
      </c>
      <c r="H502" t="s">
        <v>240</v>
      </c>
      <c r="I502" t="s">
        <v>241</v>
      </c>
      <c r="J502" t="s">
        <v>42</v>
      </c>
      <c r="K502" t="s">
        <v>242</v>
      </c>
      <c r="L502" t="s">
        <v>111</v>
      </c>
      <c r="M502" t="s">
        <v>45</v>
      </c>
      <c r="N502" t="s">
        <v>46</v>
      </c>
      <c r="O502">
        <v>14</v>
      </c>
      <c r="P502">
        <v>45.323741007194201</v>
      </c>
      <c r="Q502">
        <v>618.4</v>
      </c>
      <c r="R502">
        <v>0</v>
      </c>
      <c r="S502">
        <v>54.801880456682298</v>
      </c>
      <c r="T502">
        <f t="shared" si="7"/>
        <v>0.54801880456682295</v>
      </c>
      <c r="U502" t="s">
        <v>221</v>
      </c>
      <c r="V502" t="s">
        <v>48</v>
      </c>
    </row>
    <row r="503" spans="1:22" x14ac:dyDescent="0.25">
      <c r="A503">
        <v>502</v>
      </c>
      <c r="B503" t="s">
        <v>217</v>
      </c>
      <c r="C503" s="2">
        <v>43355</v>
      </c>
      <c r="D503" t="s">
        <v>37</v>
      </c>
      <c r="F503" t="s">
        <v>39</v>
      </c>
      <c r="G503">
        <v>14</v>
      </c>
      <c r="H503" t="s">
        <v>243</v>
      </c>
      <c r="I503" t="s">
        <v>244</v>
      </c>
      <c r="J503" t="s">
        <v>42</v>
      </c>
      <c r="K503" t="s">
        <v>245</v>
      </c>
      <c r="L503" t="s">
        <v>246</v>
      </c>
      <c r="M503" t="s">
        <v>45</v>
      </c>
      <c r="N503" t="s">
        <v>46</v>
      </c>
      <c r="O503">
        <v>20</v>
      </c>
      <c r="P503">
        <v>55.2083333333333</v>
      </c>
      <c r="Q503">
        <v>684.1</v>
      </c>
      <c r="R503">
        <v>0</v>
      </c>
      <c r="S503">
        <v>42.961876832844602</v>
      </c>
      <c r="T503">
        <f t="shared" si="7"/>
        <v>0.42961876832844603</v>
      </c>
      <c r="U503" t="s">
        <v>221</v>
      </c>
      <c r="V503" t="s">
        <v>48</v>
      </c>
    </row>
    <row r="504" spans="1:22" x14ac:dyDescent="0.25">
      <c r="A504">
        <v>503</v>
      </c>
      <c r="B504" t="s">
        <v>217</v>
      </c>
      <c r="C504" s="2">
        <v>43355</v>
      </c>
      <c r="D504" t="s">
        <v>37</v>
      </c>
      <c r="F504" t="s">
        <v>39</v>
      </c>
      <c r="G504">
        <v>14</v>
      </c>
      <c r="H504" t="s">
        <v>247</v>
      </c>
      <c r="I504" t="s">
        <v>248</v>
      </c>
      <c r="J504" t="s">
        <v>42</v>
      </c>
      <c r="K504" t="s">
        <v>249</v>
      </c>
      <c r="L504" t="s">
        <v>250</v>
      </c>
      <c r="M504" t="s">
        <v>45</v>
      </c>
      <c r="N504" t="s">
        <v>46</v>
      </c>
      <c r="O504">
        <v>10</v>
      </c>
      <c r="P504">
        <v>40.625</v>
      </c>
      <c r="Q504">
        <v>527.70000000000005</v>
      </c>
      <c r="R504">
        <v>0</v>
      </c>
      <c r="S504">
        <v>50.362318840579697</v>
      </c>
      <c r="T504">
        <f t="shared" si="7"/>
        <v>0.50362318840579701</v>
      </c>
      <c r="U504" t="s">
        <v>221</v>
      </c>
      <c r="V504" t="s">
        <v>48</v>
      </c>
    </row>
    <row r="505" spans="1:22" x14ac:dyDescent="0.25">
      <c r="A505">
        <v>504</v>
      </c>
      <c r="B505" t="s">
        <v>217</v>
      </c>
      <c r="C505" s="2">
        <v>43355</v>
      </c>
      <c r="D505" t="s">
        <v>37</v>
      </c>
      <c r="F505" t="s">
        <v>39</v>
      </c>
      <c r="G505">
        <v>13</v>
      </c>
      <c r="H505" t="s">
        <v>251</v>
      </c>
      <c r="I505" t="s">
        <v>252</v>
      </c>
      <c r="J505" t="s">
        <v>42</v>
      </c>
      <c r="K505" t="s">
        <v>253</v>
      </c>
      <c r="L505" t="s">
        <v>59</v>
      </c>
      <c r="M505" t="s">
        <v>45</v>
      </c>
      <c r="N505" t="s">
        <v>46</v>
      </c>
      <c r="O505">
        <v>33</v>
      </c>
      <c r="P505">
        <v>37.837837837837803</v>
      </c>
      <c r="Q505">
        <v>628.4</v>
      </c>
      <c r="R505">
        <v>0</v>
      </c>
      <c r="S505">
        <v>59.857904085257601</v>
      </c>
      <c r="T505">
        <f t="shared" si="7"/>
        <v>0.59857904085257596</v>
      </c>
      <c r="U505" t="s">
        <v>221</v>
      </c>
      <c r="V505" t="s">
        <v>48</v>
      </c>
    </row>
    <row r="506" spans="1:22" x14ac:dyDescent="0.25">
      <c r="A506">
        <v>505</v>
      </c>
      <c r="B506" t="s">
        <v>217</v>
      </c>
      <c r="C506" s="2">
        <v>43355</v>
      </c>
      <c r="D506" t="s">
        <v>37</v>
      </c>
      <c r="F506" t="s">
        <v>39</v>
      </c>
      <c r="G506">
        <v>14</v>
      </c>
      <c r="H506" t="s">
        <v>254</v>
      </c>
      <c r="I506" t="s">
        <v>255</v>
      </c>
      <c r="J506" t="s">
        <v>42</v>
      </c>
      <c r="K506" t="s">
        <v>256</v>
      </c>
      <c r="L506" t="s">
        <v>177</v>
      </c>
      <c r="M506" t="s">
        <v>101</v>
      </c>
      <c r="N506" t="s">
        <v>257</v>
      </c>
      <c r="O506">
        <v>120</v>
      </c>
      <c r="P506">
        <v>38.235294117647101</v>
      </c>
      <c r="Q506">
        <v>686.7</v>
      </c>
      <c r="R506">
        <v>1</v>
      </c>
      <c r="S506">
        <v>57.032755298651303</v>
      </c>
      <c r="T506">
        <f t="shared" si="7"/>
        <v>0.57032755298651305</v>
      </c>
      <c r="U506" t="s">
        <v>221</v>
      </c>
      <c r="V506" t="s">
        <v>48</v>
      </c>
    </row>
    <row r="507" spans="1:22" x14ac:dyDescent="0.25">
      <c r="A507">
        <v>506</v>
      </c>
      <c r="B507" t="s">
        <v>217</v>
      </c>
      <c r="C507" s="2">
        <v>43355</v>
      </c>
      <c r="D507" t="s">
        <v>37</v>
      </c>
      <c r="F507" t="s">
        <v>39</v>
      </c>
      <c r="G507">
        <v>14</v>
      </c>
      <c r="H507" t="s">
        <v>258</v>
      </c>
      <c r="I507" t="s">
        <v>259</v>
      </c>
      <c r="J507" t="s">
        <v>42</v>
      </c>
      <c r="K507" t="s">
        <v>260</v>
      </c>
      <c r="L507" t="s">
        <v>261</v>
      </c>
      <c r="M507" t="s">
        <v>45</v>
      </c>
      <c r="N507" t="s">
        <v>257</v>
      </c>
      <c r="O507">
        <v>47</v>
      </c>
      <c r="P507">
        <v>47.208121827411198</v>
      </c>
      <c r="Q507">
        <v>581.6</v>
      </c>
      <c r="R507">
        <v>0</v>
      </c>
      <c r="S507">
        <v>51.900826446281002</v>
      </c>
      <c r="T507">
        <f t="shared" si="7"/>
        <v>0.51900826446281001</v>
      </c>
      <c r="U507" t="s">
        <v>221</v>
      </c>
      <c r="V507" t="s">
        <v>48</v>
      </c>
    </row>
    <row r="508" spans="1:22" x14ac:dyDescent="0.25">
      <c r="A508">
        <v>507</v>
      </c>
      <c r="B508" t="s">
        <v>217</v>
      </c>
      <c r="C508" s="2">
        <v>43355</v>
      </c>
      <c r="D508" t="s">
        <v>37</v>
      </c>
      <c r="F508" t="s">
        <v>39</v>
      </c>
      <c r="G508">
        <v>14</v>
      </c>
      <c r="H508" t="s">
        <v>262</v>
      </c>
      <c r="I508" t="s">
        <v>263</v>
      </c>
      <c r="J508" t="s">
        <v>42</v>
      </c>
      <c r="K508" t="s">
        <v>264</v>
      </c>
      <c r="L508" t="s">
        <v>111</v>
      </c>
      <c r="M508" t="s">
        <v>101</v>
      </c>
      <c r="N508" t="s">
        <v>257</v>
      </c>
      <c r="O508">
        <v>36</v>
      </c>
      <c r="P508">
        <v>59.411764705882398</v>
      </c>
      <c r="Q508">
        <v>611.6</v>
      </c>
      <c r="R508">
        <v>0</v>
      </c>
      <c r="S508">
        <v>56.621880998080599</v>
      </c>
      <c r="T508">
        <f t="shared" si="7"/>
        <v>0.56621880998080598</v>
      </c>
      <c r="U508" t="s">
        <v>221</v>
      </c>
      <c r="V508" t="s">
        <v>48</v>
      </c>
    </row>
    <row r="509" spans="1:22" x14ac:dyDescent="0.25">
      <c r="A509">
        <v>508</v>
      </c>
      <c r="B509" t="s">
        <v>217</v>
      </c>
      <c r="C509" s="2">
        <v>43355</v>
      </c>
      <c r="D509" t="s">
        <v>37</v>
      </c>
      <c r="F509" t="s">
        <v>39</v>
      </c>
      <c r="G509">
        <v>14</v>
      </c>
      <c r="H509" t="s">
        <v>265</v>
      </c>
      <c r="I509" t="s">
        <v>266</v>
      </c>
      <c r="J509" t="s">
        <v>42</v>
      </c>
      <c r="K509" t="s">
        <v>267</v>
      </c>
      <c r="L509" t="s">
        <v>268</v>
      </c>
      <c r="M509" t="s">
        <v>45</v>
      </c>
      <c r="N509" t="s">
        <v>257</v>
      </c>
      <c r="O509">
        <v>50</v>
      </c>
      <c r="P509">
        <v>35.526315789473699</v>
      </c>
      <c r="Q509">
        <v>595.70000000000005</v>
      </c>
      <c r="R509">
        <v>0</v>
      </c>
      <c r="S509">
        <v>60.6490872210953</v>
      </c>
      <c r="T509">
        <f t="shared" si="7"/>
        <v>0.60649087221095299</v>
      </c>
      <c r="U509" t="s">
        <v>221</v>
      </c>
      <c r="V509" t="s">
        <v>48</v>
      </c>
    </row>
    <row r="510" spans="1:22" x14ac:dyDescent="0.25">
      <c r="A510">
        <v>509</v>
      </c>
      <c r="B510" t="s">
        <v>217</v>
      </c>
      <c r="C510" s="2">
        <v>43355</v>
      </c>
      <c r="D510" t="s">
        <v>37</v>
      </c>
      <c r="F510" t="s">
        <v>39</v>
      </c>
      <c r="G510">
        <v>14</v>
      </c>
      <c r="H510" t="s">
        <v>269</v>
      </c>
      <c r="I510" t="s">
        <v>270</v>
      </c>
      <c r="J510" t="s">
        <v>42</v>
      </c>
      <c r="K510" t="s">
        <v>271</v>
      </c>
      <c r="L510" t="s">
        <v>111</v>
      </c>
      <c r="M510" t="s">
        <v>45</v>
      </c>
      <c r="N510" t="s">
        <v>257</v>
      </c>
      <c r="O510">
        <v>120</v>
      </c>
      <c r="P510">
        <v>30.964467005076099</v>
      </c>
      <c r="Q510">
        <v>237.2</v>
      </c>
      <c r="R510">
        <v>1</v>
      </c>
      <c r="S510">
        <v>83.545647558386406</v>
      </c>
      <c r="T510">
        <f t="shared" si="7"/>
        <v>0.83545647558386404</v>
      </c>
      <c r="U510" t="s">
        <v>221</v>
      </c>
      <c r="V510" t="s">
        <v>48</v>
      </c>
    </row>
    <row r="511" spans="1:22" x14ac:dyDescent="0.25">
      <c r="A511">
        <v>510</v>
      </c>
      <c r="B511" t="s">
        <v>217</v>
      </c>
      <c r="C511" s="2">
        <v>43355</v>
      </c>
      <c r="D511" t="s">
        <v>37</v>
      </c>
      <c r="F511" t="s">
        <v>39</v>
      </c>
      <c r="G511">
        <v>14</v>
      </c>
      <c r="H511" t="s">
        <v>272</v>
      </c>
      <c r="I511" t="s">
        <v>273</v>
      </c>
      <c r="J511" t="s">
        <v>42</v>
      </c>
      <c r="K511" t="s">
        <v>274</v>
      </c>
      <c r="L511" t="s">
        <v>275</v>
      </c>
      <c r="M511" t="s">
        <v>101</v>
      </c>
      <c r="N511" t="s">
        <v>257</v>
      </c>
      <c r="O511">
        <v>120</v>
      </c>
      <c r="P511">
        <v>31.292517006802701</v>
      </c>
      <c r="Q511">
        <v>564.70000000000005</v>
      </c>
      <c r="R511">
        <v>1</v>
      </c>
      <c r="S511">
        <v>66.6666666666667</v>
      </c>
      <c r="T511">
        <f t="shared" si="7"/>
        <v>0.66666666666666696</v>
      </c>
      <c r="U511" t="s">
        <v>221</v>
      </c>
      <c r="V511" t="s">
        <v>48</v>
      </c>
    </row>
    <row r="512" spans="1:22" x14ac:dyDescent="0.25">
      <c r="A512">
        <v>511</v>
      </c>
      <c r="B512" t="s">
        <v>217</v>
      </c>
      <c r="C512" s="2">
        <v>43355</v>
      </c>
      <c r="D512" t="s">
        <v>37</v>
      </c>
      <c r="F512" t="s">
        <v>39</v>
      </c>
      <c r="G512">
        <v>14</v>
      </c>
      <c r="H512" t="s">
        <v>276</v>
      </c>
      <c r="I512" t="s">
        <v>277</v>
      </c>
      <c r="J512" t="s">
        <v>42</v>
      </c>
      <c r="K512" t="s">
        <v>278</v>
      </c>
      <c r="L512" t="s">
        <v>177</v>
      </c>
      <c r="M512" t="s">
        <v>101</v>
      </c>
      <c r="N512" t="s">
        <v>257</v>
      </c>
      <c r="O512">
        <v>93</v>
      </c>
      <c r="P512">
        <v>47.560975609756099</v>
      </c>
      <c r="Q512">
        <v>769.1</v>
      </c>
      <c r="R512">
        <v>0</v>
      </c>
      <c r="S512">
        <v>50.117096018735403</v>
      </c>
      <c r="T512">
        <f t="shared" si="7"/>
        <v>0.50117096018735408</v>
      </c>
      <c r="U512" t="s">
        <v>221</v>
      </c>
      <c r="V512" t="s">
        <v>48</v>
      </c>
    </row>
    <row r="513" spans="1:22" x14ac:dyDescent="0.25">
      <c r="A513">
        <v>512</v>
      </c>
      <c r="B513" t="s">
        <v>217</v>
      </c>
      <c r="C513" s="2">
        <v>43355</v>
      </c>
      <c r="D513" t="s">
        <v>37</v>
      </c>
      <c r="F513" t="s">
        <v>39</v>
      </c>
      <c r="G513">
        <v>14</v>
      </c>
      <c r="H513" t="s">
        <v>279</v>
      </c>
      <c r="I513" t="s">
        <v>280</v>
      </c>
      <c r="J513" t="s">
        <v>42</v>
      </c>
      <c r="K513" t="s">
        <v>281</v>
      </c>
      <c r="L513" t="s">
        <v>177</v>
      </c>
      <c r="M513" t="s">
        <v>45</v>
      </c>
      <c r="N513" t="s">
        <v>257</v>
      </c>
      <c r="O513">
        <v>52</v>
      </c>
      <c r="P513">
        <v>53.623188405797102</v>
      </c>
      <c r="Q513">
        <v>571.4</v>
      </c>
      <c r="R513">
        <v>0</v>
      </c>
      <c r="S513">
        <v>60.015710919088797</v>
      </c>
      <c r="T513">
        <f t="shared" si="7"/>
        <v>0.60015710919088794</v>
      </c>
      <c r="U513" t="s">
        <v>221</v>
      </c>
      <c r="V513" t="s">
        <v>48</v>
      </c>
    </row>
    <row r="514" spans="1:22" x14ac:dyDescent="0.25">
      <c r="A514">
        <v>513</v>
      </c>
      <c r="B514" t="s">
        <v>217</v>
      </c>
      <c r="C514" s="2">
        <v>43355</v>
      </c>
      <c r="D514" t="s">
        <v>37</v>
      </c>
      <c r="F514" t="s">
        <v>39</v>
      </c>
      <c r="G514">
        <v>14</v>
      </c>
      <c r="H514" t="s">
        <v>282</v>
      </c>
      <c r="I514" t="s">
        <v>283</v>
      </c>
      <c r="J514" t="s">
        <v>42</v>
      </c>
      <c r="K514" t="s">
        <v>284</v>
      </c>
      <c r="L514" t="s">
        <v>285</v>
      </c>
      <c r="M514" t="s">
        <v>101</v>
      </c>
      <c r="N514" t="s">
        <v>257</v>
      </c>
      <c r="O514">
        <v>120</v>
      </c>
      <c r="P514">
        <v>21.6216216216216</v>
      </c>
      <c r="Q514">
        <v>494.1</v>
      </c>
      <c r="R514">
        <v>1</v>
      </c>
      <c r="S514">
        <v>57.309941520467802</v>
      </c>
      <c r="T514">
        <f t="shared" si="7"/>
        <v>0.573099415204678</v>
      </c>
      <c r="U514" t="s">
        <v>221</v>
      </c>
      <c r="V514" t="s">
        <v>48</v>
      </c>
    </row>
    <row r="515" spans="1:22" x14ac:dyDescent="0.25">
      <c r="A515">
        <v>514</v>
      </c>
      <c r="B515" t="s">
        <v>217</v>
      </c>
      <c r="C515" s="2">
        <v>43355</v>
      </c>
      <c r="D515" t="s">
        <v>37</v>
      </c>
      <c r="F515" t="s">
        <v>39</v>
      </c>
      <c r="G515">
        <v>14</v>
      </c>
      <c r="H515" t="s">
        <v>286</v>
      </c>
      <c r="I515" t="s">
        <v>287</v>
      </c>
      <c r="J515" t="s">
        <v>42</v>
      </c>
      <c r="K515" t="s">
        <v>288</v>
      </c>
      <c r="L515" t="s">
        <v>289</v>
      </c>
      <c r="M515" t="s">
        <v>45</v>
      </c>
      <c r="N515" t="s">
        <v>257</v>
      </c>
      <c r="O515">
        <v>64</v>
      </c>
      <c r="P515">
        <v>42.519685039370103</v>
      </c>
      <c r="Q515">
        <v>614.9</v>
      </c>
      <c r="R515">
        <v>0</v>
      </c>
      <c r="S515">
        <v>53.823311061618398</v>
      </c>
      <c r="T515">
        <f t="shared" ref="T515:T578" si="8">S515/100</f>
        <v>0.53823311061618395</v>
      </c>
      <c r="U515" t="s">
        <v>221</v>
      </c>
      <c r="V515" t="s">
        <v>48</v>
      </c>
    </row>
    <row r="516" spans="1:22" x14ac:dyDescent="0.25">
      <c r="A516">
        <v>515</v>
      </c>
      <c r="B516" t="s">
        <v>217</v>
      </c>
      <c r="C516" s="2">
        <v>43355</v>
      </c>
      <c r="D516" t="s">
        <v>37</v>
      </c>
      <c r="F516" t="s">
        <v>39</v>
      </c>
      <c r="G516">
        <v>14</v>
      </c>
      <c r="H516" t="s">
        <v>290</v>
      </c>
      <c r="I516" t="s">
        <v>291</v>
      </c>
      <c r="J516" t="s">
        <v>42</v>
      </c>
      <c r="K516" t="s">
        <v>292</v>
      </c>
      <c r="L516" t="s">
        <v>293</v>
      </c>
      <c r="M516" t="s">
        <v>101</v>
      </c>
      <c r="N516" t="s">
        <v>294</v>
      </c>
      <c r="O516">
        <v>49</v>
      </c>
      <c r="P516">
        <v>71.428571428571402</v>
      </c>
      <c r="Q516">
        <v>682.9</v>
      </c>
      <c r="R516">
        <v>0</v>
      </c>
      <c r="S516">
        <v>61.652542372881399</v>
      </c>
      <c r="T516">
        <f t="shared" si="8"/>
        <v>0.61652542372881403</v>
      </c>
      <c r="U516" t="s">
        <v>221</v>
      </c>
      <c r="V516" t="s">
        <v>295</v>
      </c>
    </row>
    <row r="517" spans="1:22" x14ac:dyDescent="0.25">
      <c r="A517">
        <v>516</v>
      </c>
      <c r="B517" t="s">
        <v>217</v>
      </c>
      <c r="C517" s="2">
        <v>43355</v>
      </c>
      <c r="D517" t="s">
        <v>37</v>
      </c>
      <c r="F517" t="s">
        <v>39</v>
      </c>
      <c r="G517">
        <v>14</v>
      </c>
      <c r="H517" t="s">
        <v>296</v>
      </c>
      <c r="I517" t="s">
        <v>297</v>
      </c>
      <c r="J517" t="s">
        <v>42</v>
      </c>
      <c r="K517" t="s">
        <v>298</v>
      </c>
      <c r="L517" t="s">
        <v>293</v>
      </c>
      <c r="M517" t="s">
        <v>101</v>
      </c>
      <c r="N517" t="s">
        <v>294</v>
      </c>
      <c r="O517">
        <v>27</v>
      </c>
      <c r="P517">
        <v>75.576036866359402</v>
      </c>
      <c r="Q517">
        <v>801</v>
      </c>
      <c r="R517">
        <v>0</v>
      </c>
      <c r="S517">
        <v>55.449482895783603</v>
      </c>
      <c r="T517">
        <f t="shared" si="8"/>
        <v>0.55449482895783608</v>
      </c>
      <c r="U517" t="s">
        <v>221</v>
      </c>
      <c r="V517" t="s">
        <v>295</v>
      </c>
    </row>
    <row r="518" spans="1:22" x14ac:dyDescent="0.25">
      <c r="A518">
        <v>517</v>
      </c>
      <c r="B518" t="s">
        <v>217</v>
      </c>
      <c r="C518" s="2">
        <v>43355</v>
      </c>
      <c r="D518" t="s">
        <v>37</v>
      </c>
      <c r="F518" t="s">
        <v>39</v>
      </c>
      <c r="G518">
        <v>14</v>
      </c>
      <c r="H518" t="s">
        <v>299</v>
      </c>
      <c r="I518" t="s">
        <v>300</v>
      </c>
      <c r="J518" t="s">
        <v>42</v>
      </c>
      <c r="K518" t="s">
        <v>301</v>
      </c>
      <c r="L518" t="s">
        <v>302</v>
      </c>
      <c r="M518" t="s">
        <v>45</v>
      </c>
      <c r="N518" t="s">
        <v>294</v>
      </c>
      <c r="O518">
        <v>27</v>
      </c>
      <c r="P518">
        <v>51.724137931034498</v>
      </c>
      <c r="Q518">
        <v>541</v>
      </c>
      <c r="R518">
        <v>0</v>
      </c>
      <c r="S518">
        <v>81.746031746031804</v>
      </c>
      <c r="T518">
        <f t="shared" si="8"/>
        <v>0.817460317460318</v>
      </c>
      <c r="U518" t="s">
        <v>221</v>
      </c>
      <c r="V518" t="s">
        <v>295</v>
      </c>
    </row>
    <row r="519" spans="1:22" x14ac:dyDescent="0.25">
      <c r="A519">
        <v>518</v>
      </c>
      <c r="B519" t="s">
        <v>217</v>
      </c>
      <c r="C519" s="2">
        <v>43355</v>
      </c>
      <c r="D519" t="s">
        <v>37</v>
      </c>
      <c r="F519" t="s">
        <v>39</v>
      </c>
      <c r="G519">
        <v>14</v>
      </c>
      <c r="H519" t="s">
        <v>303</v>
      </c>
      <c r="I519" t="s">
        <v>304</v>
      </c>
      <c r="J519" t="s">
        <v>42</v>
      </c>
      <c r="K519" t="s">
        <v>305</v>
      </c>
      <c r="L519" t="s">
        <v>250</v>
      </c>
      <c r="M519" t="s">
        <v>101</v>
      </c>
      <c r="N519" t="s">
        <v>294</v>
      </c>
      <c r="O519">
        <v>49</v>
      </c>
      <c r="P519">
        <v>62.068965517241402</v>
      </c>
      <c r="Q519">
        <v>608.4</v>
      </c>
      <c r="R519">
        <v>0</v>
      </c>
      <c r="S519">
        <v>52.280405405405403</v>
      </c>
      <c r="T519">
        <f t="shared" si="8"/>
        <v>0.52280405405405406</v>
      </c>
      <c r="U519" t="s">
        <v>221</v>
      </c>
      <c r="V519" t="s">
        <v>295</v>
      </c>
    </row>
    <row r="520" spans="1:22" x14ac:dyDescent="0.25">
      <c r="A520">
        <v>519</v>
      </c>
      <c r="B520" t="s">
        <v>217</v>
      </c>
      <c r="C520" s="2">
        <v>43355</v>
      </c>
      <c r="D520" t="s">
        <v>37</v>
      </c>
      <c r="F520" t="s">
        <v>39</v>
      </c>
      <c r="G520">
        <v>14</v>
      </c>
      <c r="H520" t="s">
        <v>306</v>
      </c>
      <c r="I520" t="s">
        <v>307</v>
      </c>
      <c r="J520" t="s">
        <v>42</v>
      </c>
      <c r="K520" t="s">
        <v>308</v>
      </c>
      <c r="L520" t="s">
        <v>250</v>
      </c>
      <c r="M520" t="s">
        <v>101</v>
      </c>
      <c r="N520" t="s">
        <v>294</v>
      </c>
      <c r="O520">
        <v>33</v>
      </c>
      <c r="P520">
        <v>43.069306930693102</v>
      </c>
      <c r="Q520">
        <v>678.4</v>
      </c>
      <c r="R520">
        <v>0</v>
      </c>
      <c r="S520">
        <v>49.0939738727349</v>
      </c>
      <c r="T520">
        <f t="shared" si="8"/>
        <v>0.49093973872734897</v>
      </c>
      <c r="U520" t="s">
        <v>221</v>
      </c>
      <c r="V520" t="s">
        <v>295</v>
      </c>
    </row>
    <row r="521" spans="1:22" x14ac:dyDescent="0.25">
      <c r="A521">
        <v>520</v>
      </c>
      <c r="B521" t="s">
        <v>217</v>
      </c>
      <c r="C521" s="2">
        <v>43355</v>
      </c>
      <c r="D521" t="s">
        <v>37</v>
      </c>
      <c r="F521" t="s">
        <v>39</v>
      </c>
      <c r="G521">
        <v>14</v>
      </c>
      <c r="H521" t="s">
        <v>309</v>
      </c>
      <c r="I521" t="s">
        <v>310</v>
      </c>
      <c r="J521" t="s">
        <v>42</v>
      </c>
      <c r="K521" t="s">
        <v>311</v>
      </c>
      <c r="L521" t="s">
        <v>250</v>
      </c>
      <c r="M521" t="s">
        <v>101</v>
      </c>
      <c r="N521" t="s">
        <v>294</v>
      </c>
      <c r="O521">
        <v>67</v>
      </c>
      <c r="P521">
        <v>57.8125</v>
      </c>
      <c r="Q521">
        <v>623.70000000000005</v>
      </c>
      <c r="R521">
        <v>0</v>
      </c>
      <c r="S521">
        <v>67.366412213740503</v>
      </c>
      <c r="T521">
        <f t="shared" si="8"/>
        <v>0.67366412213740501</v>
      </c>
      <c r="U521" t="s">
        <v>221</v>
      </c>
      <c r="V521" t="s">
        <v>295</v>
      </c>
    </row>
    <row r="522" spans="1:22" x14ac:dyDescent="0.25">
      <c r="A522">
        <v>521</v>
      </c>
      <c r="B522" t="s">
        <v>217</v>
      </c>
      <c r="C522" s="2">
        <v>43355</v>
      </c>
      <c r="D522" t="s">
        <v>37</v>
      </c>
      <c r="F522" t="s">
        <v>39</v>
      </c>
      <c r="G522">
        <v>14</v>
      </c>
      <c r="H522" t="s">
        <v>312</v>
      </c>
      <c r="I522" t="s">
        <v>313</v>
      </c>
      <c r="J522" t="s">
        <v>42</v>
      </c>
      <c r="K522" t="s">
        <v>314</v>
      </c>
      <c r="L522" t="s">
        <v>250</v>
      </c>
      <c r="M522" t="s">
        <v>101</v>
      </c>
      <c r="N522" t="s">
        <v>294</v>
      </c>
      <c r="O522">
        <v>35</v>
      </c>
      <c r="P522">
        <v>59.162303664921502</v>
      </c>
      <c r="Q522">
        <v>647.1</v>
      </c>
      <c r="R522">
        <v>0</v>
      </c>
      <c r="S522">
        <v>54.904051172707902</v>
      </c>
      <c r="T522">
        <f t="shared" si="8"/>
        <v>0.54904051172707902</v>
      </c>
      <c r="U522" t="s">
        <v>221</v>
      </c>
      <c r="V522" t="s">
        <v>295</v>
      </c>
    </row>
    <row r="523" spans="1:22" x14ac:dyDescent="0.25">
      <c r="A523">
        <v>522</v>
      </c>
      <c r="B523" t="s">
        <v>217</v>
      </c>
      <c r="C523" s="2">
        <v>43355</v>
      </c>
      <c r="D523" t="s">
        <v>37</v>
      </c>
      <c r="F523" t="s">
        <v>39</v>
      </c>
      <c r="G523">
        <v>14</v>
      </c>
      <c r="H523" t="s">
        <v>315</v>
      </c>
      <c r="I523" t="s">
        <v>316</v>
      </c>
      <c r="J523" t="s">
        <v>42</v>
      </c>
      <c r="K523" t="s">
        <v>317</v>
      </c>
      <c r="L523" t="s">
        <v>185</v>
      </c>
      <c r="M523" t="s">
        <v>101</v>
      </c>
      <c r="N523" t="s">
        <v>294</v>
      </c>
      <c r="O523">
        <v>26</v>
      </c>
      <c r="P523">
        <v>53.763440860214999</v>
      </c>
      <c r="Q523">
        <v>740.1</v>
      </c>
      <c r="R523">
        <v>0</v>
      </c>
      <c r="S523">
        <v>52.7847049044057</v>
      </c>
      <c r="T523">
        <f t="shared" si="8"/>
        <v>0.52784704904405699</v>
      </c>
      <c r="U523" t="s">
        <v>221</v>
      </c>
      <c r="V523" t="s">
        <v>295</v>
      </c>
    </row>
    <row r="524" spans="1:22" x14ac:dyDescent="0.25">
      <c r="A524">
        <v>523</v>
      </c>
      <c r="B524" t="s">
        <v>217</v>
      </c>
      <c r="C524" s="2">
        <v>43355</v>
      </c>
      <c r="D524" t="s">
        <v>37</v>
      </c>
      <c r="F524" t="s">
        <v>39</v>
      </c>
      <c r="G524">
        <v>14</v>
      </c>
      <c r="H524" t="s">
        <v>318</v>
      </c>
      <c r="I524" t="s">
        <v>319</v>
      </c>
      <c r="J524" t="s">
        <v>109</v>
      </c>
      <c r="K524" t="s">
        <v>320</v>
      </c>
      <c r="L524" t="s">
        <v>185</v>
      </c>
      <c r="M524" t="s">
        <v>101</v>
      </c>
      <c r="N524" t="s">
        <v>294</v>
      </c>
      <c r="O524">
        <v>60</v>
      </c>
      <c r="P524">
        <v>47.761194029850699</v>
      </c>
      <c r="Q524">
        <v>582.20000000000005</v>
      </c>
      <c r="R524">
        <v>0</v>
      </c>
      <c r="S524">
        <v>44.067796610169502</v>
      </c>
      <c r="T524">
        <f t="shared" si="8"/>
        <v>0.44067796610169502</v>
      </c>
      <c r="U524" t="s">
        <v>221</v>
      </c>
      <c r="V524" t="s">
        <v>295</v>
      </c>
    </row>
    <row r="525" spans="1:22" x14ac:dyDescent="0.25">
      <c r="A525">
        <v>524</v>
      </c>
      <c r="B525" t="s">
        <v>217</v>
      </c>
      <c r="C525" s="2">
        <v>43355</v>
      </c>
      <c r="D525" t="s">
        <v>37</v>
      </c>
      <c r="F525" t="s">
        <v>39</v>
      </c>
      <c r="G525">
        <v>14</v>
      </c>
      <c r="H525" t="s">
        <v>321</v>
      </c>
      <c r="I525" t="s">
        <v>322</v>
      </c>
      <c r="J525" t="s">
        <v>42</v>
      </c>
      <c r="K525" t="s">
        <v>323</v>
      </c>
      <c r="L525" t="s">
        <v>185</v>
      </c>
      <c r="M525" t="s">
        <v>101</v>
      </c>
      <c r="N525" t="s">
        <v>294</v>
      </c>
      <c r="O525">
        <v>37</v>
      </c>
      <c r="P525">
        <v>55.789473684210499</v>
      </c>
      <c r="Q525">
        <v>566.6</v>
      </c>
      <c r="R525">
        <v>0</v>
      </c>
      <c r="S525">
        <v>48.732943469785603</v>
      </c>
      <c r="T525">
        <f t="shared" si="8"/>
        <v>0.48732943469785606</v>
      </c>
      <c r="U525" t="s">
        <v>221</v>
      </c>
      <c r="V525" t="s">
        <v>295</v>
      </c>
    </row>
    <row r="526" spans="1:22" x14ac:dyDescent="0.25">
      <c r="A526">
        <v>525</v>
      </c>
      <c r="B526" t="s">
        <v>217</v>
      </c>
      <c r="C526" s="2">
        <v>43360</v>
      </c>
      <c r="D526" t="s">
        <v>37</v>
      </c>
      <c r="F526" t="s">
        <v>39</v>
      </c>
      <c r="G526">
        <v>15</v>
      </c>
      <c r="H526" t="s">
        <v>218</v>
      </c>
      <c r="I526" t="s">
        <v>219</v>
      </c>
      <c r="J526" t="s">
        <v>42</v>
      </c>
      <c r="K526" t="s">
        <v>220</v>
      </c>
      <c r="L526" t="s">
        <v>44</v>
      </c>
      <c r="M526" t="s">
        <v>45</v>
      </c>
      <c r="N526" t="s">
        <v>46</v>
      </c>
      <c r="O526">
        <v>32</v>
      </c>
      <c r="P526">
        <v>65.853658536585399</v>
      </c>
      <c r="Q526">
        <v>649</v>
      </c>
      <c r="R526">
        <v>0</v>
      </c>
      <c r="S526">
        <v>54.2699724517907</v>
      </c>
      <c r="T526">
        <f t="shared" si="8"/>
        <v>0.54269972451790705</v>
      </c>
      <c r="U526" t="s">
        <v>221</v>
      </c>
      <c r="V526" t="s">
        <v>48</v>
      </c>
    </row>
    <row r="527" spans="1:22" x14ac:dyDescent="0.25">
      <c r="A527">
        <v>526</v>
      </c>
      <c r="B527" t="s">
        <v>217</v>
      </c>
      <c r="C527" s="2">
        <v>43360</v>
      </c>
      <c r="D527" t="s">
        <v>37</v>
      </c>
      <c r="F527" t="s">
        <v>39</v>
      </c>
      <c r="G527">
        <v>15</v>
      </c>
      <c r="H527" t="s">
        <v>222</v>
      </c>
      <c r="I527" t="s">
        <v>223</v>
      </c>
      <c r="J527" t="s">
        <v>42</v>
      </c>
      <c r="K527" t="s">
        <v>224</v>
      </c>
      <c r="L527" t="s">
        <v>225</v>
      </c>
      <c r="M527" t="s">
        <v>45</v>
      </c>
      <c r="N527" t="s">
        <v>46</v>
      </c>
      <c r="O527">
        <v>23</v>
      </c>
      <c r="P527">
        <v>34.285714285714299</v>
      </c>
      <c r="Q527">
        <v>609</v>
      </c>
      <c r="R527">
        <v>0</v>
      </c>
      <c r="S527">
        <v>43.75</v>
      </c>
      <c r="T527">
        <f t="shared" si="8"/>
        <v>0.4375</v>
      </c>
      <c r="U527" t="s">
        <v>221</v>
      </c>
      <c r="V527" t="s">
        <v>48</v>
      </c>
    </row>
    <row r="528" spans="1:22" x14ac:dyDescent="0.25">
      <c r="A528">
        <v>527</v>
      </c>
      <c r="B528" t="s">
        <v>217</v>
      </c>
      <c r="C528" s="2">
        <v>43360</v>
      </c>
      <c r="D528" t="s">
        <v>37</v>
      </c>
      <c r="F528" t="s">
        <v>39</v>
      </c>
      <c r="G528">
        <v>15</v>
      </c>
      <c r="H528" t="s">
        <v>226</v>
      </c>
      <c r="I528" t="s">
        <v>227</v>
      </c>
      <c r="J528" t="s">
        <v>42</v>
      </c>
      <c r="K528" t="s">
        <v>228</v>
      </c>
      <c r="L528" t="s">
        <v>225</v>
      </c>
      <c r="M528" t="s">
        <v>45</v>
      </c>
      <c r="N528" t="s">
        <v>46</v>
      </c>
      <c r="O528">
        <v>17</v>
      </c>
      <c r="P528">
        <v>67.2</v>
      </c>
      <c r="Q528">
        <v>643</v>
      </c>
      <c r="R528">
        <v>0</v>
      </c>
      <c r="S528">
        <v>47.3607038123167</v>
      </c>
      <c r="T528">
        <f t="shared" si="8"/>
        <v>0.47360703812316701</v>
      </c>
      <c r="U528" t="s">
        <v>221</v>
      </c>
      <c r="V528" t="s">
        <v>48</v>
      </c>
    </row>
    <row r="529" spans="1:22" x14ac:dyDescent="0.25">
      <c r="A529">
        <v>528</v>
      </c>
      <c r="B529" t="s">
        <v>217</v>
      </c>
      <c r="C529" s="2">
        <v>43360</v>
      </c>
      <c r="D529" t="s">
        <v>37</v>
      </c>
      <c r="F529" t="s">
        <v>39</v>
      </c>
      <c r="G529">
        <v>15</v>
      </c>
      <c r="H529" t="s">
        <v>229</v>
      </c>
      <c r="I529" t="s">
        <v>230</v>
      </c>
      <c r="J529" t="s">
        <v>42</v>
      </c>
      <c r="K529" t="s">
        <v>231</v>
      </c>
      <c r="L529" t="s">
        <v>232</v>
      </c>
      <c r="M529" t="s">
        <v>45</v>
      </c>
      <c r="N529" t="s">
        <v>46</v>
      </c>
      <c r="O529">
        <v>49</v>
      </c>
      <c r="P529">
        <v>86.363636363636402</v>
      </c>
      <c r="Q529">
        <v>465</v>
      </c>
      <c r="R529">
        <v>0</v>
      </c>
      <c r="S529">
        <v>52.941176470588204</v>
      </c>
      <c r="T529">
        <f t="shared" si="8"/>
        <v>0.52941176470588203</v>
      </c>
      <c r="U529" t="s">
        <v>221</v>
      </c>
      <c r="V529" t="s">
        <v>48</v>
      </c>
    </row>
    <row r="530" spans="1:22" x14ac:dyDescent="0.25">
      <c r="A530">
        <v>529</v>
      </c>
      <c r="B530" t="s">
        <v>217</v>
      </c>
      <c r="C530" s="2">
        <v>43360</v>
      </c>
      <c r="D530" t="s">
        <v>37</v>
      </c>
      <c r="F530" t="s">
        <v>39</v>
      </c>
      <c r="G530">
        <v>15</v>
      </c>
      <c r="H530" t="s">
        <v>233</v>
      </c>
      <c r="I530" t="s">
        <v>234</v>
      </c>
      <c r="J530" t="s">
        <v>42</v>
      </c>
      <c r="K530" t="s">
        <v>235</v>
      </c>
      <c r="L530" t="s">
        <v>232</v>
      </c>
      <c r="M530" t="s">
        <v>45</v>
      </c>
      <c r="N530" t="s">
        <v>46</v>
      </c>
      <c r="O530">
        <v>51</v>
      </c>
      <c r="P530">
        <v>72.058823529411796</v>
      </c>
      <c r="Q530">
        <v>621.6</v>
      </c>
      <c r="R530">
        <v>0</v>
      </c>
      <c r="S530">
        <v>46.750902527075802</v>
      </c>
      <c r="T530">
        <f t="shared" si="8"/>
        <v>0.46750902527075799</v>
      </c>
      <c r="U530" t="s">
        <v>221</v>
      </c>
      <c r="V530" t="s">
        <v>48</v>
      </c>
    </row>
    <row r="531" spans="1:22" x14ac:dyDescent="0.25">
      <c r="A531">
        <v>530</v>
      </c>
      <c r="B531" t="s">
        <v>217</v>
      </c>
      <c r="C531" s="2">
        <v>43360</v>
      </c>
      <c r="D531" t="s">
        <v>37</v>
      </c>
      <c r="F531" t="s">
        <v>39</v>
      </c>
      <c r="G531">
        <v>15</v>
      </c>
      <c r="H531" t="s">
        <v>236</v>
      </c>
      <c r="I531" t="s">
        <v>237</v>
      </c>
      <c r="J531" t="s">
        <v>42</v>
      </c>
      <c r="K531" t="s">
        <v>238</v>
      </c>
      <c r="L531" t="s">
        <v>239</v>
      </c>
      <c r="M531" t="s">
        <v>45</v>
      </c>
      <c r="N531" t="s">
        <v>46</v>
      </c>
      <c r="O531">
        <v>37</v>
      </c>
      <c r="P531">
        <v>55.434782608695699</v>
      </c>
      <c r="Q531">
        <v>556</v>
      </c>
      <c r="R531">
        <v>0</v>
      </c>
      <c r="S531">
        <v>51.801242236024798</v>
      </c>
      <c r="T531">
        <f t="shared" si="8"/>
        <v>0.51801242236024803</v>
      </c>
      <c r="U531" t="s">
        <v>221</v>
      </c>
      <c r="V531" t="s">
        <v>48</v>
      </c>
    </row>
    <row r="532" spans="1:22" x14ac:dyDescent="0.25">
      <c r="A532">
        <v>531</v>
      </c>
      <c r="B532" t="s">
        <v>217</v>
      </c>
      <c r="C532" s="2">
        <v>43360</v>
      </c>
      <c r="D532" t="s">
        <v>37</v>
      </c>
      <c r="F532" t="s">
        <v>39</v>
      </c>
      <c r="G532">
        <v>15</v>
      </c>
      <c r="H532" t="s">
        <v>240</v>
      </c>
      <c r="I532" t="s">
        <v>241</v>
      </c>
      <c r="J532" t="s">
        <v>42</v>
      </c>
      <c r="K532" t="s">
        <v>242</v>
      </c>
      <c r="L532" t="s">
        <v>111</v>
      </c>
      <c r="M532" t="s">
        <v>45</v>
      </c>
      <c r="N532" t="s">
        <v>46</v>
      </c>
      <c r="O532">
        <v>10</v>
      </c>
      <c r="P532">
        <v>70.114942528735597</v>
      </c>
      <c r="Q532">
        <v>429</v>
      </c>
      <c r="R532">
        <v>0</v>
      </c>
      <c r="S532">
        <v>51.559020044543402</v>
      </c>
      <c r="T532">
        <f t="shared" si="8"/>
        <v>0.51559020044543402</v>
      </c>
      <c r="U532" t="s">
        <v>221</v>
      </c>
      <c r="V532" t="s">
        <v>48</v>
      </c>
    </row>
    <row r="533" spans="1:22" x14ac:dyDescent="0.25">
      <c r="A533">
        <v>532</v>
      </c>
      <c r="B533" t="s">
        <v>217</v>
      </c>
      <c r="C533" s="2">
        <v>43360</v>
      </c>
      <c r="D533" t="s">
        <v>37</v>
      </c>
      <c r="F533" t="s">
        <v>39</v>
      </c>
      <c r="G533">
        <v>15</v>
      </c>
      <c r="H533" t="s">
        <v>243</v>
      </c>
      <c r="I533" t="s">
        <v>244</v>
      </c>
      <c r="J533" t="s">
        <v>42</v>
      </c>
      <c r="K533" t="s">
        <v>245</v>
      </c>
      <c r="L533" t="s">
        <v>246</v>
      </c>
      <c r="M533" t="s">
        <v>45</v>
      </c>
      <c r="N533" t="s">
        <v>46</v>
      </c>
      <c r="O533">
        <v>14</v>
      </c>
      <c r="P533">
        <v>76.0416666666667</v>
      </c>
      <c r="Q533">
        <v>697.6</v>
      </c>
      <c r="R533">
        <v>0</v>
      </c>
      <c r="S533">
        <v>34.547738693467302</v>
      </c>
      <c r="T533">
        <f t="shared" si="8"/>
        <v>0.345477386934673</v>
      </c>
      <c r="U533" t="s">
        <v>221</v>
      </c>
      <c r="V533" t="s">
        <v>48</v>
      </c>
    </row>
    <row r="534" spans="1:22" x14ac:dyDescent="0.25">
      <c r="A534">
        <v>533</v>
      </c>
      <c r="B534" t="s">
        <v>217</v>
      </c>
      <c r="C534" s="2">
        <v>43360</v>
      </c>
      <c r="D534" t="s">
        <v>37</v>
      </c>
      <c r="F534" t="s">
        <v>39</v>
      </c>
      <c r="G534">
        <v>15</v>
      </c>
      <c r="H534" t="s">
        <v>247</v>
      </c>
      <c r="I534" t="s">
        <v>248</v>
      </c>
      <c r="J534" t="s">
        <v>42</v>
      </c>
      <c r="K534" t="s">
        <v>249</v>
      </c>
      <c r="L534" t="s">
        <v>250</v>
      </c>
      <c r="M534" t="s">
        <v>45</v>
      </c>
      <c r="N534" t="s">
        <v>46</v>
      </c>
      <c r="O534">
        <v>17</v>
      </c>
      <c r="P534">
        <v>25</v>
      </c>
      <c r="Q534">
        <v>520.6</v>
      </c>
      <c r="R534">
        <v>0</v>
      </c>
      <c r="S534">
        <v>49.808429118774001</v>
      </c>
      <c r="T534">
        <f t="shared" si="8"/>
        <v>0.49808429118774</v>
      </c>
      <c r="U534" t="s">
        <v>221</v>
      </c>
      <c r="V534" t="s">
        <v>48</v>
      </c>
    </row>
    <row r="535" spans="1:22" x14ac:dyDescent="0.25">
      <c r="A535">
        <v>534</v>
      </c>
      <c r="B535" t="s">
        <v>217</v>
      </c>
      <c r="C535" s="2">
        <v>43360</v>
      </c>
      <c r="D535" t="s">
        <v>37</v>
      </c>
      <c r="F535" t="s">
        <v>39</v>
      </c>
      <c r="G535">
        <v>14</v>
      </c>
      <c r="H535" t="s">
        <v>251</v>
      </c>
      <c r="I535" t="s">
        <v>252</v>
      </c>
      <c r="J535" t="s">
        <v>42</v>
      </c>
      <c r="K535" t="s">
        <v>253</v>
      </c>
      <c r="L535" t="s">
        <v>59</v>
      </c>
      <c r="M535" t="s">
        <v>45</v>
      </c>
      <c r="N535" t="s">
        <v>46</v>
      </c>
      <c r="O535">
        <v>50</v>
      </c>
      <c r="P535">
        <v>49.411764705882398</v>
      </c>
      <c r="Q535">
        <v>619.6</v>
      </c>
      <c r="R535">
        <v>0</v>
      </c>
      <c r="S535">
        <v>61.307692307692299</v>
      </c>
      <c r="T535">
        <f t="shared" si="8"/>
        <v>0.61307692307692296</v>
      </c>
      <c r="U535" t="s">
        <v>221</v>
      </c>
      <c r="V535" t="s">
        <v>48</v>
      </c>
    </row>
    <row r="536" spans="1:22" x14ac:dyDescent="0.25">
      <c r="A536">
        <v>535</v>
      </c>
      <c r="B536" t="s">
        <v>217</v>
      </c>
      <c r="C536" s="2">
        <v>43360</v>
      </c>
      <c r="D536" t="s">
        <v>37</v>
      </c>
      <c r="F536" t="s">
        <v>39</v>
      </c>
      <c r="G536">
        <v>15</v>
      </c>
      <c r="H536" t="s">
        <v>254</v>
      </c>
      <c r="I536" t="s">
        <v>255</v>
      </c>
      <c r="J536" t="s">
        <v>42</v>
      </c>
      <c r="K536" t="s">
        <v>256</v>
      </c>
      <c r="L536" t="s">
        <v>177</v>
      </c>
      <c r="M536" t="s">
        <v>101</v>
      </c>
      <c r="N536" t="s">
        <v>257</v>
      </c>
      <c r="O536">
        <v>90</v>
      </c>
      <c r="P536">
        <v>59.829059829059801</v>
      </c>
      <c r="Q536">
        <v>726</v>
      </c>
      <c r="R536">
        <v>0</v>
      </c>
      <c r="S536">
        <v>57.774140752864199</v>
      </c>
      <c r="T536">
        <f t="shared" si="8"/>
        <v>0.577741407528642</v>
      </c>
      <c r="U536" t="s">
        <v>221</v>
      </c>
      <c r="V536" t="s">
        <v>48</v>
      </c>
    </row>
    <row r="537" spans="1:22" x14ac:dyDescent="0.25">
      <c r="A537">
        <v>536</v>
      </c>
      <c r="B537" t="s">
        <v>217</v>
      </c>
      <c r="C537" s="2">
        <v>43360</v>
      </c>
      <c r="D537" t="s">
        <v>37</v>
      </c>
      <c r="F537" t="s">
        <v>39</v>
      </c>
      <c r="G537">
        <v>15</v>
      </c>
      <c r="H537" t="s">
        <v>258</v>
      </c>
      <c r="I537" t="s">
        <v>259</v>
      </c>
      <c r="J537" t="s">
        <v>42</v>
      </c>
      <c r="K537" t="s">
        <v>260</v>
      </c>
      <c r="L537" t="s">
        <v>261</v>
      </c>
      <c r="M537" t="s">
        <v>45</v>
      </c>
      <c r="N537" t="s">
        <v>257</v>
      </c>
      <c r="O537">
        <v>32</v>
      </c>
      <c r="P537">
        <v>85.123966942148797</v>
      </c>
      <c r="Q537">
        <v>693.4</v>
      </c>
      <c r="R537">
        <v>0</v>
      </c>
      <c r="S537">
        <v>52.098765432098801</v>
      </c>
      <c r="T537">
        <f t="shared" si="8"/>
        <v>0.52098765432098804</v>
      </c>
      <c r="U537" t="s">
        <v>221</v>
      </c>
      <c r="V537" t="s">
        <v>48</v>
      </c>
    </row>
    <row r="538" spans="1:22" x14ac:dyDescent="0.25">
      <c r="A538">
        <v>537</v>
      </c>
      <c r="B538" t="s">
        <v>217</v>
      </c>
      <c r="C538" s="2">
        <v>43360</v>
      </c>
      <c r="D538" t="s">
        <v>37</v>
      </c>
      <c r="F538" t="s">
        <v>39</v>
      </c>
      <c r="G538">
        <v>15</v>
      </c>
      <c r="H538" t="s">
        <v>262</v>
      </c>
      <c r="I538" t="s">
        <v>263</v>
      </c>
      <c r="J538" t="s">
        <v>42</v>
      </c>
      <c r="K538" t="s">
        <v>264</v>
      </c>
      <c r="L538" t="s">
        <v>111</v>
      </c>
      <c r="M538" t="s">
        <v>101</v>
      </c>
      <c r="N538" t="s">
        <v>257</v>
      </c>
      <c r="O538">
        <v>27</v>
      </c>
      <c r="P538">
        <v>64.912280701754398</v>
      </c>
      <c r="Q538">
        <v>677.7</v>
      </c>
      <c r="R538">
        <v>0</v>
      </c>
      <c r="S538">
        <v>53.841425937307903</v>
      </c>
      <c r="T538">
        <f t="shared" si="8"/>
        <v>0.53841425937307907</v>
      </c>
      <c r="U538" t="s">
        <v>221</v>
      </c>
      <c r="V538" t="s">
        <v>48</v>
      </c>
    </row>
    <row r="539" spans="1:22" x14ac:dyDescent="0.25">
      <c r="A539">
        <v>538</v>
      </c>
      <c r="B539" t="s">
        <v>217</v>
      </c>
      <c r="C539" s="2">
        <v>43360</v>
      </c>
      <c r="D539" t="s">
        <v>37</v>
      </c>
      <c r="F539" t="s">
        <v>39</v>
      </c>
      <c r="G539">
        <v>15</v>
      </c>
      <c r="H539" t="s">
        <v>265</v>
      </c>
      <c r="I539" t="s">
        <v>266</v>
      </c>
      <c r="J539" t="s">
        <v>42</v>
      </c>
      <c r="K539" t="s">
        <v>267</v>
      </c>
      <c r="L539" t="s">
        <v>268</v>
      </c>
      <c r="M539" t="s">
        <v>45</v>
      </c>
      <c r="N539" t="s">
        <v>257</v>
      </c>
      <c r="O539">
        <v>38</v>
      </c>
      <c r="P539">
        <v>59.740259740259702</v>
      </c>
      <c r="Q539">
        <v>535.6</v>
      </c>
      <c r="R539">
        <v>0</v>
      </c>
      <c r="S539">
        <v>61.474654377880199</v>
      </c>
      <c r="T539">
        <f t="shared" si="8"/>
        <v>0.614746543778802</v>
      </c>
      <c r="U539" t="s">
        <v>221</v>
      </c>
      <c r="V539" t="s">
        <v>48</v>
      </c>
    </row>
    <row r="540" spans="1:22" x14ac:dyDescent="0.25">
      <c r="A540">
        <v>539</v>
      </c>
      <c r="B540" t="s">
        <v>217</v>
      </c>
      <c r="C540" s="2">
        <v>43360</v>
      </c>
      <c r="D540" t="s">
        <v>37</v>
      </c>
      <c r="F540" t="s">
        <v>39</v>
      </c>
      <c r="G540">
        <v>15</v>
      </c>
      <c r="H540" t="s">
        <v>269</v>
      </c>
      <c r="I540" t="s">
        <v>270</v>
      </c>
      <c r="J540" t="s">
        <v>42</v>
      </c>
      <c r="K540" t="s">
        <v>271</v>
      </c>
      <c r="L540" t="s">
        <v>111</v>
      </c>
      <c r="M540" t="s">
        <v>45</v>
      </c>
      <c r="N540" t="s">
        <v>257</v>
      </c>
      <c r="O540">
        <v>72</v>
      </c>
      <c r="P540">
        <v>30.769230769230798</v>
      </c>
      <c r="Q540">
        <v>287.8</v>
      </c>
      <c r="R540">
        <v>1</v>
      </c>
      <c r="S540">
        <v>80.853658536585399</v>
      </c>
      <c r="T540">
        <f t="shared" si="8"/>
        <v>0.80853658536585404</v>
      </c>
      <c r="U540" t="s">
        <v>221</v>
      </c>
      <c r="V540" t="s">
        <v>48</v>
      </c>
    </row>
    <row r="541" spans="1:22" x14ac:dyDescent="0.25">
      <c r="A541">
        <v>540</v>
      </c>
      <c r="B541" t="s">
        <v>217</v>
      </c>
      <c r="C541" s="2">
        <v>43360</v>
      </c>
      <c r="D541" t="s">
        <v>37</v>
      </c>
      <c r="F541" t="s">
        <v>39</v>
      </c>
      <c r="G541">
        <v>15</v>
      </c>
      <c r="H541" t="s">
        <v>272</v>
      </c>
      <c r="I541" t="s">
        <v>273</v>
      </c>
      <c r="J541" t="s">
        <v>42</v>
      </c>
      <c r="K541" t="s">
        <v>274</v>
      </c>
      <c r="L541" t="s">
        <v>275</v>
      </c>
      <c r="M541" t="s">
        <v>101</v>
      </c>
      <c r="N541" t="s">
        <v>257</v>
      </c>
      <c r="O541">
        <v>102</v>
      </c>
      <c r="P541">
        <v>66.165413533834595</v>
      </c>
      <c r="Q541">
        <v>607</v>
      </c>
      <c r="R541">
        <v>1</v>
      </c>
      <c r="S541">
        <v>63.006177076184002</v>
      </c>
      <c r="T541">
        <f t="shared" si="8"/>
        <v>0.63006177076184</v>
      </c>
      <c r="U541" t="s">
        <v>221</v>
      </c>
      <c r="V541" t="s">
        <v>48</v>
      </c>
    </row>
    <row r="542" spans="1:22" x14ac:dyDescent="0.25">
      <c r="A542">
        <v>541</v>
      </c>
      <c r="B542" t="s">
        <v>217</v>
      </c>
      <c r="C542" s="2">
        <v>43360</v>
      </c>
      <c r="D542" t="s">
        <v>37</v>
      </c>
      <c r="F542" t="s">
        <v>39</v>
      </c>
      <c r="G542">
        <v>15</v>
      </c>
      <c r="H542" t="s">
        <v>276</v>
      </c>
      <c r="I542" t="s">
        <v>277</v>
      </c>
      <c r="J542" t="s">
        <v>42</v>
      </c>
      <c r="K542" t="s">
        <v>278</v>
      </c>
      <c r="L542" t="s">
        <v>177</v>
      </c>
      <c r="M542" t="s">
        <v>101</v>
      </c>
      <c r="N542" t="s">
        <v>257</v>
      </c>
      <c r="O542">
        <v>55</v>
      </c>
      <c r="P542">
        <v>72.173913043478294</v>
      </c>
      <c r="Q542">
        <v>747.6</v>
      </c>
      <c r="R542">
        <v>1</v>
      </c>
      <c r="S542">
        <v>48.329048843187699</v>
      </c>
      <c r="T542">
        <f t="shared" si="8"/>
        <v>0.483290488431877</v>
      </c>
      <c r="U542" t="s">
        <v>221</v>
      </c>
      <c r="V542" t="s">
        <v>48</v>
      </c>
    </row>
    <row r="543" spans="1:22" x14ac:dyDescent="0.25">
      <c r="A543">
        <v>542</v>
      </c>
      <c r="B543" t="s">
        <v>217</v>
      </c>
      <c r="C543" s="2">
        <v>43360</v>
      </c>
      <c r="D543" t="s">
        <v>37</v>
      </c>
      <c r="F543" t="s">
        <v>39</v>
      </c>
      <c r="G543">
        <v>15</v>
      </c>
      <c r="H543" t="s">
        <v>279</v>
      </c>
      <c r="I543" t="s">
        <v>280</v>
      </c>
      <c r="J543" t="s">
        <v>42</v>
      </c>
      <c r="K543" t="s">
        <v>281</v>
      </c>
      <c r="L543" t="s">
        <v>177</v>
      </c>
      <c r="M543" t="s">
        <v>45</v>
      </c>
      <c r="N543" t="s">
        <v>257</v>
      </c>
      <c r="O543">
        <v>45</v>
      </c>
      <c r="P543">
        <v>41.071428571428598</v>
      </c>
      <c r="Q543">
        <v>635.79999999999995</v>
      </c>
      <c r="R543">
        <v>0</v>
      </c>
      <c r="S543">
        <v>53.600729261622597</v>
      </c>
      <c r="T543">
        <f t="shared" si="8"/>
        <v>0.53600729261622593</v>
      </c>
      <c r="U543" t="s">
        <v>221</v>
      </c>
      <c r="V543" t="s">
        <v>48</v>
      </c>
    </row>
    <row r="544" spans="1:22" x14ac:dyDescent="0.25">
      <c r="A544">
        <v>543</v>
      </c>
      <c r="B544" t="s">
        <v>217</v>
      </c>
      <c r="C544" s="2">
        <v>43360</v>
      </c>
      <c r="D544" t="s">
        <v>37</v>
      </c>
      <c r="F544" t="s">
        <v>39</v>
      </c>
      <c r="G544">
        <v>15</v>
      </c>
      <c r="H544" t="s">
        <v>282</v>
      </c>
      <c r="I544" t="s">
        <v>283</v>
      </c>
      <c r="J544" t="s">
        <v>42</v>
      </c>
      <c r="K544" t="s">
        <v>284</v>
      </c>
      <c r="L544" t="s">
        <v>285</v>
      </c>
      <c r="M544" t="s">
        <v>101</v>
      </c>
      <c r="N544" t="s">
        <v>257</v>
      </c>
      <c r="O544">
        <v>69</v>
      </c>
      <c r="P544">
        <v>27.272727272727298</v>
      </c>
      <c r="Q544">
        <v>461.3</v>
      </c>
      <c r="R544">
        <v>1</v>
      </c>
      <c r="S544">
        <v>50.337078651685403</v>
      </c>
      <c r="T544">
        <f t="shared" si="8"/>
        <v>0.50337078651685407</v>
      </c>
      <c r="U544" t="s">
        <v>221</v>
      </c>
      <c r="V544" t="s">
        <v>48</v>
      </c>
    </row>
    <row r="545" spans="1:22" x14ac:dyDescent="0.25">
      <c r="A545">
        <v>544</v>
      </c>
      <c r="B545" t="s">
        <v>217</v>
      </c>
      <c r="C545" s="2">
        <v>43360</v>
      </c>
      <c r="D545" t="s">
        <v>37</v>
      </c>
      <c r="F545" t="s">
        <v>39</v>
      </c>
      <c r="G545">
        <v>15</v>
      </c>
      <c r="H545" t="s">
        <v>286</v>
      </c>
      <c r="I545" t="s">
        <v>287</v>
      </c>
      <c r="J545" t="s">
        <v>42</v>
      </c>
      <c r="K545" t="s">
        <v>288</v>
      </c>
      <c r="L545" t="s">
        <v>289</v>
      </c>
      <c r="M545" t="s">
        <v>45</v>
      </c>
      <c r="N545" t="s">
        <v>257</v>
      </c>
      <c r="O545">
        <v>68</v>
      </c>
      <c r="P545">
        <v>34.806629834254203</v>
      </c>
      <c r="Q545">
        <v>411.2</v>
      </c>
      <c r="R545">
        <v>1</v>
      </c>
      <c r="S545">
        <v>53.744493392070503</v>
      </c>
      <c r="T545">
        <f t="shared" si="8"/>
        <v>0.53744493392070503</v>
      </c>
      <c r="U545" t="s">
        <v>221</v>
      </c>
      <c r="V545" t="s">
        <v>48</v>
      </c>
    </row>
    <row r="546" spans="1:22" x14ac:dyDescent="0.25">
      <c r="A546">
        <v>545</v>
      </c>
      <c r="B546" t="s">
        <v>217</v>
      </c>
      <c r="C546" s="2">
        <v>43360</v>
      </c>
      <c r="D546" t="s">
        <v>37</v>
      </c>
      <c r="F546" t="s">
        <v>39</v>
      </c>
      <c r="G546">
        <v>15</v>
      </c>
      <c r="H546" t="s">
        <v>290</v>
      </c>
      <c r="I546" t="s">
        <v>291</v>
      </c>
      <c r="J546" t="s">
        <v>42</v>
      </c>
      <c r="K546" t="s">
        <v>292</v>
      </c>
      <c r="L546" t="s">
        <v>293</v>
      </c>
      <c r="M546" t="s">
        <v>101</v>
      </c>
      <c r="N546" t="s">
        <v>294</v>
      </c>
      <c r="O546">
        <v>51</v>
      </c>
      <c r="P546">
        <v>88.829787234042598</v>
      </c>
      <c r="Q546">
        <v>638.4</v>
      </c>
      <c r="R546">
        <v>0</v>
      </c>
      <c r="S546">
        <v>55.153203342618397</v>
      </c>
      <c r="T546">
        <f t="shared" si="8"/>
        <v>0.55153203342618395</v>
      </c>
      <c r="U546" t="s">
        <v>221</v>
      </c>
      <c r="V546" t="s">
        <v>295</v>
      </c>
    </row>
    <row r="547" spans="1:22" x14ac:dyDescent="0.25">
      <c r="A547">
        <v>546</v>
      </c>
      <c r="B547" t="s">
        <v>217</v>
      </c>
      <c r="C547" s="2">
        <v>43360</v>
      </c>
      <c r="D547" t="s">
        <v>37</v>
      </c>
      <c r="F547" t="s">
        <v>39</v>
      </c>
      <c r="G547">
        <v>15</v>
      </c>
      <c r="H547" t="s">
        <v>296</v>
      </c>
      <c r="I547" t="s">
        <v>297</v>
      </c>
      <c r="J547" t="s">
        <v>42</v>
      </c>
      <c r="K547" t="s">
        <v>298</v>
      </c>
      <c r="L547" t="s">
        <v>293</v>
      </c>
      <c r="M547" t="s">
        <v>101</v>
      </c>
      <c r="N547" t="s">
        <v>294</v>
      </c>
      <c r="O547">
        <v>12</v>
      </c>
      <c r="P547">
        <v>73.504273504273499</v>
      </c>
      <c r="Q547">
        <v>666.9</v>
      </c>
      <c r="R547">
        <v>0</v>
      </c>
      <c r="S547">
        <v>50.545094152626397</v>
      </c>
      <c r="T547">
        <f t="shared" si="8"/>
        <v>0.50545094152626402</v>
      </c>
      <c r="U547" t="s">
        <v>221</v>
      </c>
      <c r="V547" t="s">
        <v>295</v>
      </c>
    </row>
    <row r="548" spans="1:22" x14ac:dyDescent="0.25">
      <c r="A548">
        <v>547</v>
      </c>
      <c r="B548" t="s">
        <v>217</v>
      </c>
      <c r="C548" s="2">
        <v>43360</v>
      </c>
      <c r="D548" t="s">
        <v>37</v>
      </c>
      <c r="F548" t="s">
        <v>39</v>
      </c>
      <c r="G548">
        <v>15</v>
      </c>
      <c r="H548" t="s">
        <v>299</v>
      </c>
      <c r="I548" t="s">
        <v>300</v>
      </c>
      <c r="J548" t="s">
        <v>42</v>
      </c>
      <c r="K548" t="s">
        <v>301</v>
      </c>
      <c r="L548" t="s">
        <v>302</v>
      </c>
      <c r="M548" t="s">
        <v>45</v>
      </c>
      <c r="N548" t="s">
        <v>294</v>
      </c>
      <c r="O548">
        <v>95</v>
      </c>
      <c r="P548">
        <v>35</v>
      </c>
      <c r="Q548">
        <v>430.2</v>
      </c>
      <c r="R548">
        <v>0</v>
      </c>
      <c r="S548">
        <v>66.814159292035399</v>
      </c>
      <c r="T548">
        <f t="shared" si="8"/>
        <v>0.66814159292035402</v>
      </c>
      <c r="U548" t="s">
        <v>221</v>
      </c>
      <c r="V548" t="s">
        <v>295</v>
      </c>
    </row>
    <row r="549" spans="1:22" x14ac:dyDescent="0.25">
      <c r="A549">
        <v>548</v>
      </c>
      <c r="B549" t="s">
        <v>217</v>
      </c>
      <c r="C549" s="2">
        <v>43360</v>
      </c>
      <c r="D549" t="s">
        <v>37</v>
      </c>
      <c r="F549" t="s">
        <v>39</v>
      </c>
      <c r="G549">
        <v>15</v>
      </c>
      <c r="H549" t="s">
        <v>303</v>
      </c>
      <c r="I549" t="s">
        <v>304</v>
      </c>
      <c r="J549" t="s">
        <v>42</v>
      </c>
      <c r="K549" t="s">
        <v>305</v>
      </c>
      <c r="L549" t="s">
        <v>250</v>
      </c>
      <c r="M549" t="s">
        <v>101</v>
      </c>
      <c r="N549" t="s">
        <v>294</v>
      </c>
      <c r="O549">
        <v>49</v>
      </c>
      <c r="P549">
        <v>58.620689655172399</v>
      </c>
      <c r="Q549">
        <v>586</v>
      </c>
      <c r="R549">
        <v>0</v>
      </c>
      <c r="S549">
        <v>54.157131960335597</v>
      </c>
      <c r="T549">
        <f t="shared" si="8"/>
        <v>0.54157131960335603</v>
      </c>
      <c r="U549" t="s">
        <v>221</v>
      </c>
      <c r="V549" t="s">
        <v>295</v>
      </c>
    </row>
    <row r="550" spans="1:22" x14ac:dyDescent="0.25">
      <c r="A550">
        <v>549</v>
      </c>
      <c r="B550" t="s">
        <v>217</v>
      </c>
      <c r="C550" s="2">
        <v>43360</v>
      </c>
      <c r="D550" t="s">
        <v>37</v>
      </c>
      <c r="F550" t="s">
        <v>39</v>
      </c>
      <c r="G550">
        <v>15</v>
      </c>
      <c r="H550" t="s">
        <v>306</v>
      </c>
      <c r="I550" t="s">
        <v>307</v>
      </c>
      <c r="J550" t="s">
        <v>42</v>
      </c>
      <c r="K550" t="s">
        <v>308</v>
      </c>
      <c r="L550" t="s">
        <v>250</v>
      </c>
      <c r="M550" t="s">
        <v>101</v>
      </c>
      <c r="N550" t="s">
        <v>294</v>
      </c>
      <c r="O550">
        <v>43</v>
      </c>
      <c r="P550">
        <v>73.282442748091597</v>
      </c>
      <c r="Q550">
        <v>631.6</v>
      </c>
      <c r="R550">
        <v>0</v>
      </c>
      <c r="S550">
        <v>48.820960698689902</v>
      </c>
      <c r="T550">
        <f t="shared" si="8"/>
        <v>0.48820960698689903</v>
      </c>
      <c r="U550" t="s">
        <v>221</v>
      </c>
      <c r="V550" t="s">
        <v>295</v>
      </c>
    </row>
    <row r="551" spans="1:22" x14ac:dyDescent="0.25">
      <c r="A551">
        <v>550</v>
      </c>
      <c r="B551" t="s">
        <v>217</v>
      </c>
      <c r="C551" s="2">
        <v>43360</v>
      </c>
      <c r="D551" t="s">
        <v>37</v>
      </c>
      <c r="F551" t="s">
        <v>39</v>
      </c>
      <c r="G551">
        <v>15</v>
      </c>
      <c r="H551" t="s">
        <v>309</v>
      </c>
      <c r="I551" t="s">
        <v>310</v>
      </c>
      <c r="J551" t="s">
        <v>42</v>
      </c>
      <c r="K551" t="s">
        <v>311</v>
      </c>
      <c r="L551" t="s">
        <v>250</v>
      </c>
      <c r="M551" t="s">
        <v>101</v>
      </c>
      <c r="N551" t="s">
        <v>294</v>
      </c>
      <c r="O551">
        <v>120</v>
      </c>
      <c r="P551">
        <v>68.085106382978694</v>
      </c>
      <c r="Q551">
        <v>664.8</v>
      </c>
      <c r="R551">
        <v>1</v>
      </c>
      <c r="S551">
        <v>64.958677685950406</v>
      </c>
      <c r="T551">
        <f t="shared" si="8"/>
        <v>0.64958677685950406</v>
      </c>
      <c r="U551" t="s">
        <v>221</v>
      </c>
      <c r="V551" t="s">
        <v>295</v>
      </c>
    </row>
    <row r="552" spans="1:22" x14ac:dyDescent="0.25">
      <c r="A552">
        <v>551</v>
      </c>
      <c r="B552" t="s">
        <v>217</v>
      </c>
      <c r="C552" s="2">
        <v>43360</v>
      </c>
      <c r="D552" t="s">
        <v>37</v>
      </c>
      <c r="F552" t="s">
        <v>39</v>
      </c>
      <c r="G552">
        <v>15</v>
      </c>
      <c r="H552" t="s">
        <v>312</v>
      </c>
      <c r="I552" t="s">
        <v>313</v>
      </c>
      <c r="J552" t="s">
        <v>42</v>
      </c>
      <c r="K552" t="s">
        <v>314</v>
      </c>
      <c r="L552" t="s">
        <v>250</v>
      </c>
      <c r="M552" t="s">
        <v>101</v>
      </c>
      <c r="N552" t="s">
        <v>294</v>
      </c>
      <c r="O552">
        <v>20</v>
      </c>
      <c r="P552">
        <v>70</v>
      </c>
      <c r="Q552">
        <v>648.1</v>
      </c>
      <c r="R552">
        <v>0</v>
      </c>
      <c r="S552">
        <v>50.789096126255401</v>
      </c>
      <c r="T552">
        <f t="shared" si="8"/>
        <v>0.50789096126255406</v>
      </c>
      <c r="U552" t="s">
        <v>221</v>
      </c>
      <c r="V552" t="s">
        <v>295</v>
      </c>
    </row>
    <row r="553" spans="1:22" x14ac:dyDescent="0.25">
      <c r="A553">
        <v>552</v>
      </c>
      <c r="B553" t="s">
        <v>217</v>
      </c>
      <c r="C553" s="2">
        <v>43360</v>
      </c>
      <c r="D553" t="s">
        <v>37</v>
      </c>
      <c r="F553" t="s">
        <v>39</v>
      </c>
      <c r="G553">
        <v>15</v>
      </c>
      <c r="H553" t="s">
        <v>315</v>
      </c>
      <c r="I553" t="s">
        <v>316</v>
      </c>
      <c r="J553" t="s">
        <v>42</v>
      </c>
      <c r="K553" t="s">
        <v>317</v>
      </c>
      <c r="L553" t="s">
        <v>185</v>
      </c>
      <c r="M553" t="s">
        <v>101</v>
      </c>
      <c r="N553" t="s">
        <v>294</v>
      </c>
      <c r="O553">
        <v>16</v>
      </c>
      <c r="P553">
        <v>57.746478873239397</v>
      </c>
      <c r="Q553">
        <v>608.5</v>
      </c>
      <c r="R553">
        <v>0</v>
      </c>
      <c r="S553">
        <v>50.361794500723597</v>
      </c>
      <c r="T553">
        <f t="shared" si="8"/>
        <v>0.503617945007236</v>
      </c>
      <c r="U553" t="s">
        <v>221</v>
      </c>
      <c r="V553" t="s">
        <v>295</v>
      </c>
    </row>
    <row r="554" spans="1:22" x14ac:dyDescent="0.25">
      <c r="A554">
        <v>553</v>
      </c>
      <c r="B554" t="s">
        <v>217</v>
      </c>
      <c r="C554" s="2">
        <v>43360</v>
      </c>
      <c r="D554" t="s">
        <v>37</v>
      </c>
      <c r="F554" t="s">
        <v>39</v>
      </c>
      <c r="G554">
        <v>15</v>
      </c>
      <c r="H554" t="s">
        <v>318</v>
      </c>
      <c r="I554" t="s">
        <v>319</v>
      </c>
      <c r="J554" t="s">
        <v>109</v>
      </c>
      <c r="K554" t="s">
        <v>320</v>
      </c>
      <c r="L554" t="s">
        <v>185</v>
      </c>
      <c r="M554" t="s">
        <v>101</v>
      </c>
      <c r="N554" t="s">
        <v>294</v>
      </c>
      <c r="O554">
        <v>30</v>
      </c>
      <c r="P554">
        <v>79.518072289156606</v>
      </c>
      <c r="Q554">
        <v>671.5</v>
      </c>
      <c r="R554">
        <v>0</v>
      </c>
      <c r="S554">
        <v>44.672897196261701</v>
      </c>
      <c r="T554">
        <f t="shared" si="8"/>
        <v>0.44672897196261702</v>
      </c>
      <c r="U554" t="s">
        <v>221</v>
      </c>
      <c r="V554" t="s">
        <v>295</v>
      </c>
    </row>
    <row r="555" spans="1:22" x14ac:dyDescent="0.25">
      <c r="A555">
        <v>554</v>
      </c>
      <c r="B555" t="s">
        <v>217</v>
      </c>
      <c r="C555" s="2">
        <v>43360</v>
      </c>
      <c r="D555" t="s">
        <v>37</v>
      </c>
      <c r="F555" t="s">
        <v>39</v>
      </c>
      <c r="G555">
        <v>15</v>
      </c>
      <c r="H555" t="s">
        <v>321</v>
      </c>
      <c r="I555" t="s">
        <v>322</v>
      </c>
      <c r="J555" t="s">
        <v>42</v>
      </c>
      <c r="K555" t="s">
        <v>323</v>
      </c>
      <c r="L555" t="s">
        <v>185</v>
      </c>
      <c r="M555" t="s">
        <v>101</v>
      </c>
      <c r="N555" t="s">
        <v>294</v>
      </c>
      <c r="O555">
        <v>38</v>
      </c>
      <c r="P555">
        <v>86.1111111111111</v>
      </c>
      <c r="Q555">
        <v>607.1</v>
      </c>
      <c r="R555">
        <v>0</v>
      </c>
      <c r="S555">
        <v>48.8549618320611</v>
      </c>
      <c r="T555">
        <f t="shared" si="8"/>
        <v>0.488549618320611</v>
      </c>
      <c r="U555" t="s">
        <v>221</v>
      </c>
      <c r="V555" t="s">
        <v>295</v>
      </c>
    </row>
    <row r="556" spans="1:22" x14ac:dyDescent="0.25">
      <c r="A556">
        <v>555</v>
      </c>
      <c r="B556" t="s">
        <v>217</v>
      </c>
      <c r="C556" s="2">
        <v>43370</v>
      </c>
      <c r="D556" t="s">
        <v>37</v>
      </c>
      <c r="F556" t="s">
        <v>39</v>
      </c>
      <c r="G556">
        <v>16</v>
      </c>
      <c r="H556" t="s">
        <v>218</v>
      </c>
      <c r="I556" t="s">
        <v>219</v>
      </c>
      <c r="J556" t="s">
        <v>42</v>
      </c>
      <c r="K556" t="s">
        <v>220</v>
      </c>
      <c r="L556" t="s">
        <v>44</v>
      </c>
      <c r="M556" t="s">
        <v>45</v>
      </c>
      <c r="N556" t="s">
        <v>46</v>
      </c>
      <c r="O556">
        <v>5</v>
      </c>
      <c r="P556">
        <v>83.783783783783804</v>
      </c>
      <c r="Q556">
        <v>500.1</v>
      </c>
      <c r="R556">
        <v>0</v>
      </c>
      <c r="S556">
        <v>53.743315508021396</v>
      </c>
      <c r="T556">
        <f t="shared" si="8"/>
        <v>0.53743315508021394</v>
      </c>
      <c r="U556" t="s">
        <v>221</v>
      </c>
      <c r="V556" t="s">
        <v>48</v>
      </c>
    </row>
    <row r="557" spans="1:22" x14ac:dyDescent="0.25">
      <c r="A557">
        <v>556</v>
      </c>
      <c r="B557" t="s">
        <v>217</v>
      </c>
      <c r="C557" s="2">
        <v>43370</v>
      </c>
      <c r="D557" t="s">
        <v>37</v>
      </c>
      <c r="F557" t="s">
        <v>39</v>
      </c>
      <c r="G557">
        <v>16</v>
      </c>
      <c r="H557" t="s">
        <v>222</v>
      </c>
      <c r="I557" t="s">
        <v>223</v>
      </c>
      <c r="J557" t="s">
        <v>42</v>
      </c>
      <c r="K557" t="s">
        <v>224</v>
      </c>
      <c r="L557" t="s">
        <v>225</v>
      </c>
      <c r="M557" t="s">
        <v>45</v>
      </c>
      <c r="N557" t="s">
        <v>46</v>
      </c>
      <c r="O557">
        <v>17</v>
      </c>
      <c r="P557">
        <v>75</v>
      </c>
      <c r="Q557">
        <v>631.29999999999995</v>
      </c>
      <c r="R557">
        <v>0</v>
      </c>
      <c r="S557">
        <v>44.082840236686401</v>
      </c>
      <c r="T557">
        <f t="shared" si="8"/>
        <v>0.44082840236686399</v>
      </c>
      <c r="U557" t="s">
        <v>221</v>
      </c>
      <c r="V557" t="s">
        <v>48</v>
      </c>
    </row>
    <row r="558" spans="1:22" x14ac:dyDescent="0.25">
      <c r="A558">
        <v>557</v>
      </c>
      <c r="B558" t="s">
        <v>217</v>
      </c>
      <c r="C558" s="2">
        <v>43370</v>
      </c>
      <c r="D558" t="s">
        <v>37</v>
      </c>
      <c r="F558" t="s">
        <v>39</v>
      </c>
      <c r="G558">
        <v>16</v>
      </c>
      <c r="H558" t="s">
        <v>226</v>
      </c>
      <c r="I558" t="s">
        <v>227</v>
      </c>
      <c r="J558" t="s">
        <v>42</v>
      </c>
      <c r="K558" t="s">
        <v>228</v>
      </c>
      <c r="L558" t="s">
        <v>225</v>
      </c>
      <c r="M558" t="s">
        <v>45</v>
      </c>
      <c r="N558" t="s">
        <v>46</v>
      </c>
      <c r="O558">
        <v>11</v>
      </c>
      <c r="P558">
        <v>47.058823529411796</v>
      </c>
      <c r="Q558">
        <v>545.1</v>
      </c>
      <c r="R558">
        <v>0</v>
      </c>
      <c r="S558">
        <v>48.399246704331503</v>
      </c>
      <c r="T558">
        <f t="shared" si="8"/>
        <v>0.48399246704331506</v>
      </c>
      <c r="U558" t="s">
        <v>221</v>
      </c>
      <c r="V558" t="s">
        <v>48</v>
      </c>
    </row>
    <row r="559" spans="1:22" x14ac:dyDescent="0.25">
      <c r="A559">
        <v>558</v>
      </c>
      <c r="B559" t="s">
        <v>217</v>
      </c>
      <c r="C559" s="2">
        <v>43370</v>
      </c>
      <c r="D559" t="s">
        <v>37</v>
      </c>
      <c r="F559" t="s">
        <v>39</v>
      </c>
      <c r="G559">
        <v>16</v>
      </c>
      <c r="H559" t="s">
        <v>229</v>
      </c>
      <c r="I559" t="s">
        <v>230</v>
      </c>
      <c r="J559" t="s">
        <v>42</v>
      </c>
      <c r="K559" t="s">
        <v>231</v>
      </c>
      <c r="L559" t="s">
        <v>232</v>
      </c>
      <c r="M559" t="s">
        <v>45</v>
      </c>
      <c r="N559" t="s">
        <v>46</v>
      </c>
      <c r="O559">
        <v>31</v>
      </c>
      <c r="P559">
        <v>76.470588235294102</v>
      </c>
      <c r="Q559">
        <v>537.70000000000005</v>
      </c>
      <c r="R559">
        <v>0</v>
      </c>
      <c r="S559">
        <v>58.771929824561397</v>
      </c>
      <c r="T559">
        <f t="shared" si="8"/>
        <v>0.58771929824561397</v>
      </c>
      <c r="U559" t="s">
        <v>221</v>
      </c>
      <c r="V559" t="s">
        <v>48</v>
      </c>
    </row>
    <row r="560" spans="1:22" x14ac:dyDescent="0.25">
      <c r="A560">
        <v>559</v>
      </c>
      <c r="B560" t="s">
        <v>217</v>
      </c>
      <c r="C560" s="2">
        <v>43370</v>
      </c>
      <c r="D560" t="s">
        <v>37</v>
      </c>
      <c r="F560" t="s">
        <v>39</v>
      </c>
      <c r="G560">
        <v>16</v>
      </c>
      <c r="H560" t="s">
        <v>233</v>
      </c>
      <c r="I560" t="s">
        <v>234</v>
      </c>
      <c r="J560" t="s">
        <v>42</v>
      </c>
      <c r="K560" t="s">
        <v>235</v>
      </c>
      <c r="L560" t="s">
        <v>232</v>
      </c>
      <c r="M560" t="s">
        <v>45</v>
      </c>
      <c r="N560" t="s">
        <v>46</v>
      </c>
      <c r="O560">
        <v>54</v>
      </c>
      <c r="P560">
        <v>86.1111111111111</v>
      </c>
      <c r="Q560">
        <v>587.5</v>
      </c>
      <c r="R560">
        <v>1</v>
      </c>
      <c r="S560">
        <v>51.086956521739097</v>
      </c>
      <c r="T560">
        <f t="shared" si="8"/>
        <v>0.51086956521739102</v>
      </c>
      <c r="U560" t="s">
        <v>221</v>
      </c>
      <c r="V560" t="s">
        <v>48</v>
      </c>
    </row>
    <row r="561" spans="1:22" x14ac:dyDescent="0.25">
      <c r="A561">
        <v>560</v>
      </c>
      <c r="B561" t="s">
        <v>217</v>
      </c>
      <c r="C561" s="2">
        <v>43370</v>
      </c>
      <c r="D561" t="s">
        <v>37</v>
      </c>
      <c r="F561" t="s">
        <v>39</v>
      </c>
      <c r="G561">
        <v>16</v>
      </c>
      <c r="H561" t="s">
        <v>236</v>
      </c>
      <c r="I561" t="s">
        <v>237</v>
      </c>
      <c r="J561" t="s">
        <v>42</v>
      </c>
      <c r="K561" t="s">
        <v>238</v>
      </c>
      <c r="L561" t="s">
        <v>239</v>
      </c>
      <c r="M561" t="s">
        <v>45</v>
      </c>
      <c r="N561" t="s">
        <v>46</v>
      </c>
      <c r="O561">
        <v>103</v>
      </c>
      <c r="P561">
        <v>62.337662337662302</v>
      </c>
      <c r="Q561">
        <v>607.29999999999995</v>
      </c>
      <c r="R561">
        <v>0</v>
      </c>
      <c r="S561">
        <v>49.738219895287997</v>
      </c>
      <c r="T561">
        <f t="shared" si="8"/>
        <v>0.49738219895287999</v>
      </c>
      <c r="U561" t="s">
        <v>221</v>
      </c>
      <c r="V561" t="s">
        <v>48</v>
      </c>
    </row>
    <row r="562" spans="1:22" x14ac:dyDescent="0.25">
      <c r="A562">
        <v>561</v>
      </c>
      <c r="B562" t="s">
        <v>217</v>
      </c>
      <c r="C562" s="2">
        <v>43370</v>
      </c>
      <c r="D562" t="s">
        <v>37</v>
      </c>
      <c r="F562" t="s">
        <v>39</v>
      </c>
      <c r="G562">
        <v>16</v>
      </c>
      <c r="H562" t="s">
        <v>240</v>
      </c>
      <c r="I562" t="s">
        <v>241</v>
      </c>
      <c r="J562" t="s">
        <v>42</v>
      </c>
      <c r="K562" t="s">
        <v>242</v>
      </c>
      <c r="L562" t="s">
        <v>111</v>
      </c>
      <c r="M562" t="s">
        <v>45</v>
      </c>
      <c r="N562" t="s">
        <v>46</v>
      </c>
      <c r="O562">
        <v>4</v>
      </c>
      <c r="P562">
        <v>64.705882352941202</v>
      </c>
      <c r="Q562">
        <v>578.5</v>
      </c>
      <c r="R562">
        <v>0</v>
      </c>
      <c r="S562">
        <v>51.7316017316017</v>
      </c>
      <c r="T562">
        <f t="shared" si="8"/>
        <v>0.51731601731601695</v>
      </c>
      <c r="U562" t="s">
        <v>221</v>
      </c>
      <c r="V562" t="s">
        <v>48</v>
      </c>
    </row>
    <row r="563" spans="1:22" x14ac:dyDescent="0.25">
      <c r="A563">
        <v>562</v>
      </c>
      <c r="B563" t="s">
        <v>217</v>
      </c>
      <c r="C563" s="2">
        <v>43370</v>
      </c>
      <c r="D563" t="s">
        <v>37</v>
      </c>
      <c r="F563" t="s">
        <v>39</v>
      </c>
      <c r="G563">
        <v>16</v>
      </c>
      <c r="H563" t="s">
        <v>243</v>
      </c>
      <c r="I563" t="s">
        <v>244</v>
      </c>
      <c r="J563" t="s">
        <v>42</v>
      </c>
      <c r="K563" t="s">
        <v>245</v>
      </c>
      <c r="L563" t="s">
        <v>246</v>
      </c>
      <c r="M563" t="s">
        <v>45</v>
      </c>
      <c r="N563" t="s">
        <v>46</v>
      </c>
      <c r="O563">
        <v>14</v>
      </c>
      <c r="P563">
        <v>88.785046728972006</v>
      </c>
      <c r="Q563">
        <v>742</v>
      </c>
      <c r="R563">
        <v>0</v>
      </c>
      <c r="S563">
        <v>43.636363636363598</v>
      </c>
      <c r="T563">
        <f t="shared" si="8"/>
        <v>0.43636363636363595</v>
      </c>
      <c r="U563" t="s">
        <v>221</v>
      </c>
      <c r="V563" t="s">
        <v>48</v>
      </c>
    </row>
    <row r="564" spans="1:22" x14ac:dyDescent="0.25">
      <c r="A564">
        <v>563</v>
      </c>
      <c r="B564" t="s">
        <v>217</v>
      </c>
      <c r="C564" s="2">
        <v>43370</v>
      </c>
      <c r="D564" t="s">
        <v>37</v>
      </c>
      <c r="F564" t="s">
        <v>39</v>
      </c>
      <c r="G564">
        <v>16</v>
      </c>
      <c r="H564" t="s">
        <v>247</v>
      </c>
      <c r="I564" t="s">
        <v>248</v>
      </c>
      <c r="J564" t="s">
        <v>42</v>
      </c>
      <c r="K564" t="s">
        <v>249</v>
      </c>
      <c r="L564" t="s">
        <v>250</v>
      </c>
      <c r="M564" t="s">
        <v>45</v>
      </c>
      <c r="N564" t="s">
        <v>46</v>
      </c>
      <c r="O564">
        <v>9</v>
      </c>
      <c r="P564">
        <v>87.5</v>
      </c>
      <c r="Q564">
        <v>566.5</v>
      </c>
      <c r="R564">
        <v>0</v>
      </c>
      <c r="S564">
        <v>44.169611307420503</v>
      </c>
      <c r="T564">
        <f t="shared" si="8"/>
        <v>0.44169611307420503</v>
      </c>
      <c r="U564" t="s">
        <v>221</v>
      </c>
      <c r="V564" t="s">
        <v>48</v>
      </c>
    </row>
    <row r="565" spans="1:22" x14ac:dyDescent="0.25">
      <c r="A565">
        <v>564</v>
      </c>
      <c r="B565" t="s">
        <v>217</v>
      </c>
      <c r="C565" s="2">
        <v>43370</v>
      </c>
      <c r="D565" t="s">
        <v>37</v>
      </c>
      <c r="F565" t="s">
        <v>39</v>
      </c>
      <c r="G565">
        <v>15</v>
      </c>
      <c r="H565" t="s">
        <v>251</v>
      </c>
      <c r="I565" t="s">
        <v>252</v>
      </c>
      <c r="J565" t="s">
        <v>42</v>
      </c>
      <c r="K565" t="s">
        <v>253</v>
      </c>
      <c r="L565" t="s">
        <v>59</v>
      </c>
      <c r="M565" t="s">
        <v>45</v>
      </c>
      <c r="N565" t="s">
        <v>46</v>
      </c>
      <c r="O565">
        <v>54</v>
      </c>
      <c r="P565">
        <v>61.1111111111111</v>
      </c>
      <c r="Q565">
        <v>577.5</v>
      </c>
      <c r="R565">
        <v>0</v>
      </c>
      <c r="S565">
        <v>58.510638297872298</v>
      </c>
      <c r="T565">
        <f t="shared" si="8"/>
        <v>0.58510638297872297</v>
      </c>
      <c r="U565" t="s">
        <v>221</v>
      </c>
      <c r="V565" t="s">
        <v>48</v>
      </c>
    </row>
    <row r="566" spans="1:22" x14ac:dyDescent="0.25">
      <c r="A566">
        <v>565</v>
      </c>
      <c r="B566" t="s">
        <v>217</v>
      </c>
      <c r="C566" s="2">
        <v>43370</v>
      </c>
      <c r="D566" t="s">
        <v>37</v>
      </c>
      <c r="F566" t="s">
        <v>39</v>
      </c>
      <c r="G566">
        <v>16</v>
      </c>
      <c r="H566" t="s">
        <v>254</v>
      </c>
      <c r="I566" t="s">
        <v>255</v>
      </c>
      <c r="J566" t="s">
        <v>42</v>
      </c>
      <c r="K566" t="s">
        <v>256</v>
      </c>
      <c r="L566" t="s">
        <v>177</v>
      </c>
      <c r="M566" t="s">
        <v>101</v>
      </c>
      <c r="N566" t="s">
        <v>257</v>
      </c>
      <c r="O566">
        <v>58</v>
      </c>
      <c r="P566">
        <v>74.257425742574299</v>
      </c>
      <c r="Q566">
        <v>660.8</v>
      </c>
      <c r="R566">
        <v>0</v>
      </c>
      <c r="S566">
        <v>56.934931506849303</v>
      </c>
      <c r="T566">
        <f t="shared" si="8"/>
        <v>0.56934931506849307</v>
      </c>
      <c r="U566" t="s">
        <v>221</v>
      </c>
      <c r="V566" t="s">
        <v>48</v>
      </c>
    </row>
    <row r="567" spans="1:22" x14ac:dyDescent="0.25">
      <c r="A567">
        <v>566</v>
      </c>
      <c r="B567" t="s">
        <v>217</v>
      </c>
      <c r="C567" s="2">
        <v>43370</v>
      </c>
      <c r="D567" t="s">
        <v>37</v>
      </c>
      <c r="F567" t="s">
        <v>39</v>
      </c>
      <c r="G567">
        <v>16</v>
      </c>
      <c r="H567" t="s">
        <v>258</v>
      </c>
      <c r="I567" t="s">
        <v>259</v>
      </c>
      <c r="J567" t="s">
        <v>42</v>
      </c>
      <c r="K567" t="s">
        <v>260</v>
      </c>
      <c r="L567" t="s">
        <v>261</v>
      </c>
      <c r="M567" t="s">
        <v>45</v>
      </c>
      <c r="N567" t="s">
        <v>257</v>
      </c>
      <c r="O567">
        <v>32</v>
      </c>
      <c r="P567">
        <v>66.6666666666667</v>
      </c>
      <c r="Q567">
        <v>667.3</v>
      </c>
      <c r="R567">
        <v>0</v>
      </c>
      <c r="S567">
        <v>52.494331065759603</v>
      </c>
      <c r="T567">
        <f t="shared" si="8"/>
        <v>0.52494331065759603</v>
      </c>
      <c r="U567" t="s">
        <v>221</v>
      </c>
      <c r="V567" t="s">
        <v>48</v>
      </c>
    </row>
    <row r="568" spans="1:22" x14ac:dyDescent="0.25">
      <c r="A568">
        <v>567</v>
      </c>
      <c r="B568" t="s">
        <v>217</v>
      </c>
      <c r="C568" s="2">
        <v>43370</v>
      </c>
      <c r="D568" t="s">
        <v>37</v>
      </c>
      <c r="F568" t="s">
        <v>39</v>
      </c>
      <c r="G568">
        <v>16</v>
      </c>
      <c r="H568" t="s">
        <v>262</v>
      </c>
      <c r="I568" t="s">
        <v>263</v>
      </c>
      <c r="J568" t="s">
        <v>42</v>
      </c>
      <c r="K568" t="s">
        <v>264</v>
      </c>
      <c r="L568" t="s">
        <v>111</v>
      </c>
      <c r="M568" t="s">
        <v>101</v>
      </c>
      <c r="N568" t="s">
        <v>257</v>
      </c>
      <c r="O568">
        <v>24</v>
      </c>
      <c r="P568">
        <v>80.152671755725194</v>
      </c>
      <c r="Q568">
        <v>616.20000000000005</v>
      </c>
      <c r="R568">
        <v>0</v>
      </c>
      <c r="S568">
        <v>45.752212389380503</v>
      </c>
      <c r="T568">
        <f t="shared" si="8"/>
        <v>0.45752212389380503</v>
      </c>
      <c r="U568" t="s">
        <v>221</v>
      </c>
      <c r="V568" t="s">
        <v>48</v>
      </c>
    </row>
    <row r="569" spans="1:22" x14ac:dyDescent="0.25">
      <c r="A569">
        <v>568</v>
      </c>
      <c r="B569" t="s">
        <v>217</v>
      </c>
      <c r="C569" s="2">
        <v>43370</v>
      </c>
      <c r="D569" t="s">
        <v>37</v>
      </c>
      <c r="F569" t="s">
        <v>39</v>
      </c>
      <c r="G569">
        <v>16</v>
      </c>
      <c r="H569" t="s">
        <v>265</v>
      </c>
      <c r="I569" t="s">
        <v>266</v>
      </c>
      <c r="J569" t="s">
        <v>42</v>
      </c>
      <c r="K569" t="s">
        <v>267</v>
      </c>
      <c r="L569" t="s">
        <v>268</v>
      </c>
      <c r="M569" t="s">
        <v>45</v>
      </c>
      <c r="N569" t="s">
        <v>257</v>
      </c>
      <c r="O569">
        <v>93</v>
      </c>
      <c r="P569">
        <v>83.1460674157303</v>
      </c>
      <c r="Q569">
        <v>519.70000000000005</v>
      </c>
      <c r="R569">
        <v>0</v>
      </c>
      <c r="S569">
        <v>65.479876160990699</v>
      </c>
      <c r="T569">
        <f t="shared" si="8"/>
        <v>0.65479876160990702</v>
      </c>
      <c r="U569" t="s">
        <v>221</v>
      </c>
      <c r="V569" t="s">
        <v>48</v>
      </c>
    </row>
    <row r="570" spans="1:22" x14ac:dyDescent="0.25">
      <c r="A570">
        <v>569</v>
      </c>
      <c r="B570" t="s">
        <v>217</v>
      </c>
      <c r="C570" s="2">
        <v>43370</v>
      </c>
      <c r="D570" t="s">
        <v>37</v>
      </c>
      <c r="F570" t="s">
        <v>39</v>
      </c>
      <c r="G570">
        <v>16</v>
      </c>
      <c r="H570" t="s">
        <v>269</v>
      </c>
      <c r="I570" t="s">
        <v>270</v>
      </c>
      <c r="J570" t="s">
        <v>42</v>
      </c>
      <c r="K570" t="s">
        <v>271</v>
      </c>
      <c r="L570" t="s">
        <v>111</v>
      </c>
      <c r="M570" t="s">
        <v>45</v>
      </c>
      <c r="N570" t="s">
        <v>257</v>
      </c>
      <c r="O570">
        <v>78</v>
      </c>
      <c r="P570">
        <v>55.384615384615401</v>
      </c>
      <c r="Q570">
        <v>454.6</v>
      </c>
      <c r="R570">
        <v>1</v>
      </c>
      <c r="S570">
        <v>81.543624161073794</v>
      </c>
      <c r="T570">
        <f t="shared" si="8"/>
        <v>0.81543624161073791</v>
      </c>
      <c r="U570" t="s">
        <v>221</v>
      </c>
      <c r="V570" t="s">
        <v>48</v>
      </c>
    </row>
    <row r="571" spans="1:22" x14ac:dyDescent="0.25">
      <c r="A571">
        <v>570</v>
      </c>
      <c r="B571" t="s">
        <v>217</v>
      </c>
      <c r="C571" s="2">
        <v>43370</v>
      </c>
      <c r="D571" t="s">
        <v>37</v>
      </c>
      <c r="F571" t="s">
        <v>39</v>
      </c>
      <c r="G571">
        <v>16</v>
      </c>
      <c r="H571" t="s">
        <v>272</v>
      </c>
      <c r="I571" t="s">
        <v>273</v>
      </c>
      <c r="J571" t="s">
        <v>42</v>
      </c>
      <c r="K571" t="s">
        <v>274</v>
      </c>
      <c r="L571" t="s">
        <v>275</v>
      </c>
      <c r="M571" t="s">
        <v>101</v>
      </c>
      <c r="N571" t="s">
        <v>257</v>
      </c>
      <c r="O571">
        <v>120</v>
      </c>
      <c r="P571">
        <v>60</v>
      </c>
      <c r="Q571">
        <v>589</v>
      </c>
      <c r="R571">
        <v>0</v>
      </c>
      <c r="S571">
        <v>62.940584088620298</v>
      </c>
      <c r="T571">
        <f t="shared" si="8"/>
        <v>0.62940584088620299</v>
      </c>
      <c r="U571" t="s">
        <v>221</v>
      </c>
      <c r="V571" t="s">
        <v>48</v>
      </c>
    </row>
    <row r="572" spans="1:22" x14ac:dyDescent="0.25">
      <c r="A572">
        <v>571</v>
      </c>
      <c r="B572" t="s">
        <v>217</v>
      </c>
      <c r="C572" s="2">
        <v>43370</v>
      </c>
      <c r="D572" t="s">
        <v>37</v>
      </c>
      <c r="F572" t="s">
        <v>39</v>
      </c>
      <c r="G572">
        <v>16</v>
      </c>
      <c r="H572" t="s">
        <v>276</v>
      </c>
      <c r="I572" t="s">
        <v>277</v>
      </c>
      <c r="J572" t="s">
        <v>42</v>
      </c>
      <c r="K572" t="s">
        <v>278</v>
      </c>
      <c r="L572" t="s">
        <v>177</v>
      </c>
      <c r="M572" t="s">
        <v>101</v>
      </c>
      <c r="N572" t="s">
        <v>257</v>
      </c>
      <c r="O572">
        <v>63</v>
      </c>
      <c r="P572">
        <v>55.3719008264463</v>
      </c>
      <c r="Q572">
        <v>677.9</v>
      </c>
      <c r="R572">
        <v>0</v>
      </c>
      <c r="S572">
        <v>51.035781544256103</v>
      </c>
      <c r="T572">
        <f t="shared" si="8"/>
        <v>0.51035781544256098</v>
      </c>
      <c r="U572" t="s">
        <v>221</v>
      </c>
      <c r="V572" t="s">
        <v>48</v>
      </c>
    </row>
    <row r="573" spans="1:22" x14ac:dyDescent="0.25">
      <c r="A573">
        <v>572</v>
      </c>
      <c r="B573" t="s">
        <v>217</v>
      </c>
      <c r="C573" s="2">
        <v>43370</v>
      </c>
      <c r="D573" t="s">
        <v>37</v>
      </c>
      <c r="F573" t="s">
        <v>39</v>
      </c>
      <c r="G573">
        <v>16</v>
      </c>
      <c r="H573" t="s">
        <v>279</v>
      </c>
      <c r="I573" t="s">
        <v>280</v>
      </c>
      <c r="J573" t="s">
        <v>42</v>
      </c>
      <c r="K573" t="s">
        <v>281</v>
      </c>
      <c r="L573" t="s">
        <v>177</v>
      </c>
      <c r="M573" t="s">
        <v>45</v>
      </c>
      <c r="N573" t="s">
        <v>257</v>
      </c>
      <c r="O573">
        <v>57</v>
      </c>
      <c r="P573">
        <v>52.884615384615401</v>
      </c>
      <c r="Q573">
        <v>413</v>
      </c>
      <c r="R573">
        <v>0</v>
      </c>
      <c r="S573">
        <v>51.653944020356199</v>
      </c>
      <c r="T573">
        <f t="shared" si="8"/>
        <v>0.51653944020356202</v>
      </c>
      <c r="U573" t="s">
        <v>221</v>
      </c>
      <c r="V573" t="s">
        <v>48</v>
      </c>
    </row>
    <row r="574" spans="1:22" x14ac:dyDescent="0.25">
      <c r="A574">
        <v>573</v>
      </c>
      <c r="B574" t="s">
        <v>217</v>
      </c>
      <c r="C574" s="2">
        <v>43370</v>
      </c>
      <c r="D574" t="s">
        <v>37</v>
      </c>
      <c r="F574" t="s">
        <v>39</v>
      </c>
      <c r="G574">
        <v>16</v>
      </c>
      <c r="H574" t="s">
        <v>282</v>
      </c>
      <c r="I574" t="s">
        <v>283</v>
      </c>
      <c r="J574" t="s">
        <v>42</v>
      </c>
      <c r="K574" t="s">
        <v>284</v>
      </c>
      <c r="L574" t="s">
        <v>285</v>
      </c>
      <c r="M574" t="s">
        <v>101</v>
      </c>
      <c r="N574" t="s">
        <v>257</v>
      </c>
      <c r="O574">
        <v>120</v>
      </c>
      <c r="P574">
        <v>17.460317460317501</v>
      </c>
      <c r="Q574">
        <v>501</v>
      </c>
      <c r="R574">
        <v>1</v>
      </c>
      <c r="S574">
        <v>53.728070175438603</v>
      </c>
      <c r="T574">
        <f t="shared" si="8"/>
        <v>0.53728070175438603</v>
      </c>
      <c r="U574" t="s">
        <v>221</v>
      </c>
      <c r="V574" t="s">
        <v>48</v>
      </c>
    </row>
    <row r="575" spans="1:22" x14ac:dyDescent="0.25">
      <c r="A575">
        <v>574</v>
      </c>
      <c r="B575" t="s">
        <v>217</v>
      </c>
      <c r="C575" s="2">
        <v>43370</v>
      </c>
      <c r="D575" t="s">
        <v>37</v>
      </c>
      <c r="F575" t="s">
        <v>39</v>
      </c>
      <c r="G575">
        <v>16</v>
      </c>
      <c r="H575" t="s">
        <v>286</v>
      </c>
      <c r="I575" t="s">
        <v>287</v>
      </c>
      <c r="J575" t="s">
        <v>42</v>
      </c>
      <c r="K575" t="s">
        <v>288</v>
      </c>
      <c r="L575" t="s">
        <v>289</v>
      </c>
      <c r="M575" t="s">
        <v>45</v>
      </c>
      <c r="N575" t="s">
        <v>257</v>
      </c>
      <c r="O575">
        <v>39</v>
      </c>
      <c r="P575">
        <v>54.310344827586199</v>
      </c>
      <c r="Q575">
        <v>579.6</v>
      </c>
      <c r="R575">
        <v>0</v>
      </c>
      <c r="S575">
        <v>51.536231884057997</v>
      </c>
      <c r="T575">
        <f t="shared" si="8"/>
        <v>0.51536231884057992</v>
      </c>
      <c r="U575" t="s">
        <v>221</v>
      </c>
      <c r="V575" t="s">
        <v>48</v>
      </c>
    </row>
    <row r="576" spans="1:22" x14ac:dyDescent="0.25">
      <c r="A576">
        <v>575</v>
      </c>
      <c r="B576" t="s">
        <v>217</v>
      </c>
      <c r="C576" s="2">
        <v>43370</v>
      </c>
      <c r="D576" t="s">
        <v>37</v>
      </c>
      <c r="F576" t="s">
        <v>39</v>
      </c>
      <c r="G576">
        <v>16</v>
      </c>
      <c r="H576" t="s">
        <v>290</v>
      </c>
      <c r="I576" t="s">
        <v>291</v>
      </c>
      <c r="J576" t="s">
        <v>42</v>
      </c>
      <c r="K576" t="s">
        <v>292</v>
      </c>
      <c r="L576" t="s">
        <v>293</v>
      </c>
      <c r="M576" t="s">
        <v>101</v>
      </c>
      <c r="N576" t="s">
        <v>294</v>
      </c>
      <c r="O576">
        <v>27</v>
      </c>
      <c r="P576">
        <v>59.638554216867497</v>
      </c>
      <c r="Q576">
        <v>671.8</v>
      </c>
      <c r="R576">
        <v>0</v>
      </c>
      <c r="S576">
        <v>59.8052851182197</v>
      </c>
      <c r="T576">
        <f t="shared" si="8"/>
        <v>0.59805285118219698</v>
      </c>
      <c r="U576" t="s">
        <v>221</v>
      </c>
      <c r="V576" t="s">
        <v>295</v>
      </c>
    </row>
    <row r="577" spans="1:22" x14ac:dyDescent="0.25">
      <c r="A577">
        <v>576</v>
      </c>
      <c r="B577" t="s">
        <v>217</v>
      </c>
      <c r="C577" s="2">
        <v>43370</v>
      </c>
      <c r="D577" t="s">
        <v>37</v>
      </c>
      <c r="F577" t="s">
        <v>39</v>
      </c>
      <c r="G577">
        <v>16</v>
      </c>
      <c r="H577" t="s">
        <v>296</v>
      </c>
      <c r="I577" t="s">
        <v>297</v>
      </c>
      <c r="J577" t="s">
        <v>42</v>
      </c>
      <c r="K577" t="s">
        <v>298</v>
      </c>
      <c r="L577" t="s">
        <v>293</v>
      </c>
      <c r="M577" t="s">
        <v>101</v>
      </c>
      <c r="N577" t="s">
        <v>294</v>
      </c>
      <c r="O577">
        <v>13</v>
      </c>
      <c r="P577">
        <v>89.430894308943095</v>
      </c>
      <c r="Q577">
        <v>595.4</v>
      </c>
      <c r="R577">
        <v>0</v>
      </c>
      <c r="S577">
        <v>49.189627228525097</v>
      </c>
      <c r="T577">
        <f t="shared" si="8"/>
        <v>0.49189627228525096</v>
      </c>
      <c r="U577" t="s">
        <v>221</v>
      </c>
      <c r="V577" t="s">
        <v>295</v>
      </c>
    </row>
    <row r="578" spans="1:22" x14ac:dyDescent="0.25">
      <c r="A578">
        <v>577</v>
      </c>
      <c r="B578" t="s">
        <v>217</v>
      </c>
      <c r="C578" s="2">
        <v>43370</v>
      </c>
      <c r="D578" t="s">
        <v>37</v>
      </c>
      <c r="F578" t="s">
        <v>39</v>
      </c>
      <c r="G578">
        <v>16</v>
      </c>
      <c r="H578" t="s">
        <v>299</v>
      </c>
      <c r="I578" t="s">
        <v>300</v>
      </c>
      <c r="J578" t="s">
        <v>42</v>
      </c>
      <c r="K578" t="s">
        <v>301</v>
      </c>
      <c r="L578" t="s">
        <v>302</v>
      </c>
      <c r="M578" t="s">
        <v>45</v>
      </c>
      <c r="N578" t="s">
        <v>294</v>
      </c>
      <c r="O578">
        <v>34</v>
      </c>
      <c r="P578">
        <v>72.727272727272705</v>
      </c>
      <c r="Q578">
        <v>707.9</v>
      </c>
      <c r="R578">
        <v>0</v>
      </c>
      <c r="S578">
        <v>67.741935483871003</v>
      </c>
      <c r="T578">
        <f t="shared" si="8"/>
        <v>0.67741935483871007</v>
      </c>
      <c r="U578" t="s">
        <v>221</v>
      </c>
      <c r="V578" t="s">
        <v>295</v>
      </c>
    </row>
    <row r="579" spans="1:22" x14ac:dyDescent="0.25">
      <c r="A579">
        <v>578</v>
      </c>
      <c r="B579" t="s">
        <v>217</v>
      </c>
      <c r="C579" s="2">
        <v>43370</v>
      </c>
      <c r="D579" t="s">
        <v>37</v>
      </c>
      <c r="F579" t="s">
        <v>39</v>
      </c>
      <c r="G579">
        <v>16</v>
      </c>
      <c r="H579" t="s">
        <v>303</v>
      </c>
      <c r="I579" t="s">
        <v>304</v>
      </c>
      <c r="J579" t="s">
        <v>42</v>
      </c>
      <c r="K579" t="s">
        <v>305</v>
      </c>
      <c r="L579" t="s">
        <v>250</v>
      </c>
      <c r="M579" t="s">
        <v>101</v>
      </c>
      <c r="N579" t="s">
        <v>294</v>
      </c>
      <c r="O579">
        <v>31</v>
      </c>
      <c r="P579">
        <v>88.8888888888889</v>
      </c>
      <c r="Q579">
        <v>736.5</v>
      </c>
      <c r="R579">
        <v>0</v>
      </c>
      <c r="S579">
        <v>50.635838150288997</v>
      </c>
      <c r="T579">
        <f t="shared" ref="T579:T642" si="9">S579/100</f>
        <v>0.50635838150288992</v>
      </c>
      <c r="U579" t="s">
        <v>221</v>
      </c>
      <c r="V579" t="s">
        <v>295</v>
      </c>
    </row>
    <row r="580" spans="1:22" x14ac:dyDescent="0.25">
      <c r="A580">
        <v>579</v>
      </c>
      <c r="B580" t="s">
        <v>217</v>
      </c>
      <c r="C580" s="2">
        <v>43370</v>
      </c>
      <c r="D580" t="s">
        <v>37</v>
      </c>
      <c r="F580" t="s">
        <v>39</v>
      </c>
      <c r="G580">
        <v>16</v>
      </c>
      <c r="H580" t="s">
        <v>306</v>
      </c>
      <c r="I580" t="s">
        <v>307</v>
      </c>
      <c r="J580" t="s">
        <v>42</v>
      </c>
      <c r="K580" t="s">
        <v>308</v>
      </c>
      <c r="L580" t="s">
        <v>250</v>
      </c>
      <c r="M580" t="s">
        <v>101</v>
      </c>
      <c r="N580" t="s">
        <v>294</v>
      </c>
      <c r="O580">
        <v>41</v>
      </c>
      <c r="P580">
        <v>90.178571428571402</v>
      </c>
      <c r="Q580">
        <v>714.6</v>
      </c>
      <c r="R580">
        <v>0</v>
      </c>
      <c r="S580">
        <v>47.190047190047203</v>
      </c>
      <c r="T580">
        <f t="shared" si="9"/>
        <v>0.47190047190047202</v>
      </c>
      <c r="U580" t="s">
        <v>221</v>
      </c>
      <c r="V580" t="s">
        <v>295</v>
      </c>
    </row>
    <row r="581" spans="1:22" x14ac:dyDescent="0.25">
      <c r="A581">
        <v>580</v>
      </c>
      <c r="B581" t="s">
        <v>217</v>
      </c>
      <c r="C581" s="2">
        <v>43370</v>
      </c>
      <c r="D581" t="s">
        <v>37</v>
      </c>
      <c r="F581" t="s">
        <v>39</v>
      </c>
      <c r="G581">
        <v>16</v>
      </c>
      <c r="H581" t="s">
        <v>309</v>
      </c>
      <c r="I581" t="s">
        <v>310</v>
      </c>
      <c r="J581" t="s">
        <v>42</v>
      </c>
      <c r="K581" t="s">
        <v>311</v>
      </c>
      <c r="L581" t="s">
        <v>250</v>
      </c>
      <c r="M581" t="s">
        <v>101</v>
      </c>
      <c r="N581" t="s">
        <v>294</v>
      </c>
      <c r="O581">
        <v>120</v>
      </c>
      <c r="P581">
        <v>61.643835616438402</v>
      </c>
      <c r="Q581">
        <v>508.2</v>
      </c>
      <c r="R581">
        <v>1</v>
      </c>
      <c r="S581">
        <v>62.670299727520401</v>
      </c>
      <c r="T581">
        <f t="shared" si="9"/>
        <v>0.62670299727520407</v>
      </c>
      <c r="U581" t="s">
        <v>221</v>
      </c>
      <c r="V581" t="s">
        <v>295</v>
      </c>
    </row>
    <row r="582" spans="1:22" x14ac:dyDescent="0.25">
      <c r="A582">
        <v>581</v>
      </c>
      <c r="B582" t="s">
        <v>217</v>
      </c>
      <c r="C582" s="2">
        <v>43370</v>
      </c>
      <c r="D582" t="s">
        <v>37</v>
      </c>
      <c r="F582" t="s">
        <v>39</v>
      </c>
      <c r="G582">
        <v>16</v>
      </c>
      <c r="H582" t="s">
        <v>312</v>
      </c>
      <c r="I582" t="s">
        <v>313</v>
      </c>
      <c r="J582" t="s">
        <v>42</v>
      </c>
      <c r="K582" t="s">
        <v>314</v>
      </c>
      <c r="L582" t="s">
        <v>250</v>
      </c>
      <c r="M582" t="s">
        <v>101</v>
      </c>
      <c r="N582" t="s">
        <v>294</v>
      </c>
      <c r="O582">
        <v>19</v>
      </c>
      <c r="P582">
        <v>82.580645161290306</v>
      </c>
      <c r="Q582">
        <v>708.4</v>
      </c>
      <c r="R582">
        <v>0</v>
      </c>
      <c r="S582">
        <v>52.041633306645302</v>
      </c>
      <c r="T582">
        <f t="shared" si="9"/>
        <v>0.52041633306645307</v>
      </c>
      <c r="U582" t="s">
        <v>221</v>
      </c>
      <c r="V582" t="s">
        <v>295</v>
      </c>
    </row>
    <row r="583" spans="1:22" x14ac:dyDescent="0.25">
      <c r="A583">
        <v>582</v>
      </c>
      <c r="B583" t="s">
        <v>217</v>
      </c>
      <c r="C583" s="2">
        <v>43370</v>
      </c>
      <c r="D583" t="s">
        <v>37</v>
      </c>
      <c r="F583" t="s">
        <v>39</v>
      </c>
      <c r="G583">
        <v>16</v>
      </c>
      <c r="H583" t="s">
        <v>315</v>
      </c>
      <c r="I583" t="s">
        <v>316</v>
      </c>
      <c r="J583" t="s">
        <v>42</v>
      </c>
      <c r="K583" t="s">
        <v>317</v>
      </c>
      <c r="L583" t="s">
        <v>185</v>
      </c>
      <c r="M583" t="s">
        <v>101</v>
      </c>
      <c r="N583" t="s">
        <v>294</v>
      </c>
      <c r="O583">
        <v>20</v>
      </c>
      <c r="P583">
        <v>95.348837209302303</v>
      </c>
      <c r="Q583">
        <v>728.9</v>
      </c>
      <c r="R583">
        <v>0</v>
      </c>
      <c r="S583">
        <v>49.767441860465098</v>
      </c>
      <c r="T583">
        <f t="shared" si="9"/>
        <v>0.497674418604651</v>
      </c>
      <c r="U583" t="s">
        <v>221</v>
      </c>
      <c r="V583" t="s">
        <v>295</v>
      </c>
    </row>
    <row r="584" spans="1:22" x14ac:dyDescent="0.25">
      <c r="A584">
        <v>583</v>
      </c>
      <c r="B584" t="s">
        <v>217</v>
      </c>
      <c r="C584" s="2">
        <v>43370</v>
      </c>
      <c r="D584" t="s">
        <v>37</v>
      </c>
      <c r="F584" t="s">
        <v>39</v>
      </c>
      <c r="G584">
        <v>16</v>
      </c>
      <c r="H584" t="s">
        <v>318</v>
      </c>
      <c r="I584" t="s">
        <v>319</v>
      </c>
      <c r="J584" t="s">
        <v>109</v>
      </c>
      <c r="K584" t="s">
        <v>320</v>
      </c>
      <c r="L584" t="s">
        <v>185</v>
      </c>
      <c r="M584" t="s">
        <v>101</v>
      </c>
      <c r="N584" t="s">
        <v>294</v>
      </c>
      <c r="O584">
        <v>27</v>
      </c>
      <c r="P584">
        <v>68.965517241379303</v>
      </c>
      <c r="Q584">
        <v>517.1</v>
      </c>
      <c r="R584">
        <v>0</v>
      </c>
      <c r="S584">
        <v>42.5</v>
      </c>
      <c r="T584">
        <f t="shared" si="9"/>
        <v>0.42499999999999999</v>
      </c>
      <c r="U584" t="s">
        <v>221</v>
      </c>
      <c r="V584" t="s">
        <v>295</v>
      </c>
    </row>
    <row r="585" spans="1:22" x14ac:dyDescent="0.25">
      <c r="A585">
        <v>584</v>
      </c>
      <c r="B585" t="s">
        <v>217</v>
      </c>
      <c r="C585" s="2">
        <v>43370</v>
      </c>
      <c r="D585" t="s">
        <v>37</v>
      </c>
      <c r="F585" t="s">
        <v>39</v>
      </c>
      <c r="G585">
        <v>16</v>
      </c>
      <c r="H585" t="s">
        <v>321</v>
      </c>
      <c r="I585" t="s">
        <v>322</v>
      </c>
      <c r="J585" t="s">
        <v>42</v>
      </c>
      <c r="K585" t="s">
        <v>323</v>
      </c>
      <c r="L585" t="s">
        <v>185</v>
      </c>
      <c r="M585" t="s">
        <v>101</v>
      </c>
      <c r="N585" t="s">
        <v>294</v>
      </c>
      <c r="O585">
        <v>27</v>
      </c>
      <c r="P585">
        <v>74.257425742574299</v>
      </c>
      <c r="Q585">
        <v>730.7</v>
      </c>
      <c r="R585">
        <v>0</v>
      </c>
      <c r="S585">
        <v>46.114649681528697</v>
      </c>
      <c r="T585">
        <f t="shared" si="9"/>
        <v>0.46114649681528697</v>
      </c>
      <c r="U585" t="s">
        <v>221</v>
      </c>
      <c r="V585" t="s">
        <v>295</v>
      </c>
    </row>
    <row r="586" spans="1:22" x14ac:dyDescent="0.25">
      <c r="A586">
        <v>585</v>
      </c>
      <c r="B586" t="s">
        <v>217</v>
      </c>
      <c r="C586" s="2">
        <v>43373</v>
      </c>
      <c r="D586" t="s">
        <v>37</v>
      </c>
      <c r="F586" t="s">
        <v>39</v>
      </c>
      <c r="G586">
        <v>17</v>
      </c>
      <c r="H586" t="s">
        <v>218</v>
      </c>
      <c r="I586" t="s">
        <v>219</v>
      </c>
      <c r="J586" t="s">
        <v>42</v>
      </c>
      <c r="K586" t="s">
        <v>220</v>
      </c>
      <c r="L586" t="s">
        <v>44</v>
      </c>
      <c r="M586" t="s">
        <v>45</v>
      </c>
      <c r="N586" t="s">
        <v>46</v>
      </c>
      <c r="O586">
        <v>4</v>
      </c>
      <c r="P586">
        <v>67.741935483871003</v>
      </c>
      <c r="Q586">
        <v>538.20000000000005</v>
      </c>
      <c r="R586">
        <v>0</v>
      </c>
      <c r="S586">
        <v>54.020618556701002</v>
      </c>
      <c r="T586">
        <f t="shared" si="9"/>
        <v>0.54020618556701006</v>
      </c>
      <c r="U586" t="s">
        <v>221</v>
      </c>
      <c r="V586" t="s">
        <v>48</v>
      </c>
    </row>
    <row r="587" spans="1:22" x14ac:dyDescent="0.25">
      <c r="A587">
        <v>586</v>
      </c>
      <c r="B587" t="s">
        <v>217</v>
      </c>
      <c r="C587" s="2">
        <v>43373</v>
      </c>
      <c r="D587" t="s">
        <v>37</v>
      </c>
      <c r="F587" t="s">
        <v>39</v>
      </c>
      <c r="G587">
        <v>17</v>
      </c>
      <c r="H587" t="s">
        <v>222</v>
      </c>
      <c r="I587" t="s">
        <v>223</v>
      </c>
      <c r="J587" t="s">
        <v>42</v>
      </c>
      <c r="K587" t="s">
        <v>224</v>
      </c>
      <c r="L587" t="s">
        <v>225</v>
      </c>
      <c r="M587" t="s">
        <v>45</v>
      </c>
      <c r="N587" t="s">
        <v>46</v>
      </c>
      <c r="O587">
        <v>21</v>
      </c>
      <c r="P587">
        <v>30.434782608695699</v>
      </c>
      <c r="Q587">
        <v>531.1</v>
      </c>
      <c r="R587">
        <v>0</v>
      </c>
      <c r="S587">
        <v>42.913385826771702</v>
      </c>
      <c r="T587">
        <f t="shared" si="9"/>
        <v>0.42913385826771699</v>
      </c>
      <c r="U587" t="s">
        <v>221</v>
      </c>
      <c r="V587" t="s">
        <v>48</v>
      </c>
    </row>
    <row r="588" spans="1:22" x14ac:dyDescent="0.25">
      <c r="A588">
        <v>587</v>
      </c>
      <c r="B588" t="s">
        <v>217</v>
      </c>
      <c r="C588" s="2">
        <v>43373</v>
      </c>
      <c r="D588" t="s">
        <v>37</v>
      </c>
      <c r="F588" t="s">
        <v>39</v>
      </c>
      <c r="G588">
        <v>17</v>
      </c>
      <c r="H588" t="s">
        <v>226</v>
      </c>
      <c r="I588" t="s">
        <v>227</v>
      </c>
      <c r="J588" t="s">
        <v>42</v>
      </c>
      <c r="K588" t="s">
        <v>228</v>
      </c>
      <c r="L588" t="s">
        <v>225</v>
      </c>
      <c r="M588" t="s">
        <v>45</v>
      </c>
      <c r="N588" t="s">
        <v>46</v>
      </c>
      <c r="O588">
        <v>12</v>
      </c>
      <c r="P588">
        <v>53.703703703703702</v>
      </c>
      <c r="Q588">
        <v>519.6</v>
      </c>
      <c r="R588">
        <v>0</v>
      </c>
      <c r="S588">
        <v>52.941176470588204</v>
      </c>
      <c r="T588">
        <f t="shared" si="9"/>
        <v>0.52941176470588203</v>
      </c>
      <c r="U588" t="s">
        <v>221</v>
      </c>
      <c r="V588" t="s">
        <v>48</v>
      </c>
    </row>
    <row r="589" spans="1:22" x14ac:dyDescent="0.25">
      <c r="A589">
        <v>588</v>
      </c>
      <c r="B589" t="s">
        <v>217</v>
      </c>
      <c r="C589" s="2">
        <v>43373</v>
      </c>
      <c r="D589" t="s">
        <v>37</v>
      </c>
      <c r="F589" t="s">
        <v>39</v>
      </c>
      <c r="G589">
        <v>17</v>
      </c>
      <c r="H589" t="s">
        <v>229</v>
      </c>
      <c r="I589" t="s">
        <v>230</v>
      </c>
      <c r="J589" t="s">
        <v>42</v>
      </c>
      <c r="K589" t="s">
        <v>231</v>
      </c>
      <c r="L589" t="s">
        <v>232</v>
      </c>
      <c r="M589" t="s">
        <v>45</v>
      </c>
      <c r="N589" t="s">
        <v>46</v>
      </c>
      <c r="O589">
        <v>23</v>
      </c>
      <c r="P589">
        <v>25</v>
      </c>
      <c r="Q589">
        <v>290.39999999999998</v>
      </c>
      <c r="R589">
        <v>0</v>
      </c>
      <c r="S589">
        <v>52.760736196319002</v>
      </c>
      <c r="T589">
        <f t="shared" si="9"/>
        <v>0.52760736196319002</v>
      </c>
      <c r="U589" t="s">
        <v>221</v>
      </c>
      <c r="V589" t="s">
        <v>48</v>
      </c>
    </row>
    <row r="590" spans="1:22" x14ac:dyDescent="0.25">
      <c r="A590">
        <v>589</v>
      </c>
      <c r="B590" t="s">
        <v>217</v>
      </c>
      <c r="C590" s="2">
        <v>43373</v>
      </c>
      <c r="D590" t="s">
        <v>37</v>
      </c>
      <c r="F590" t="s">
        <v>39</v>
      </c>
      <c r="G590">
        <v>17</v>
      </c>
      <c r="H590" t="s">
        <v>233</v>
      </c>
      <c r="I590" t="s">
        <v>234</v>
      </c>
      <c r="J590" t="s">
        <v>42</v>
      </c>
      <c r="K590" t="s">
        <v>235</v>
      </c>
      <c r="L590" t="s">
        <v>232</v>
      </c>
      <c r="M590" t="s">
        <v>45</v>
      </c>
      <c r="N590" t="s">
        <v>46</v>
      </c>
      <c r="O590">
        <v>17</v>
      </c>
      <c r="P590">
        <v>51.1111111111111</v>
      </c>
      <c r="Q590">
        <v>421.1</v>
      </c>
      <c r="R590">
        <v>0</v>
      </c>
      <c r="S590">
        <v>52.669039145907497</v>
      </c>
      <c r="T590">
        <f t="shared" si="9"/>
        <v>0.52669039145907492</v>
      </c>
      <c r="U590" t="s">
        <v>221</v>
      </c>
      <c r="V590" t="s">
        <v>48</v>
      </c>
    </row>
    <row r="591" spans="1:22" x14ac:dyDescent="0.25">
      <c r="A591">
        <v>590</v>
      </c>
      <c r="B591" t="s">
        <v>217</v>
      </c>
      <c r="C591" s="2">
        <v>43373</v>
      </c>
      <c r="D591" t="s">
        <v>37</v>
      </c>
      <c r="F591" t="s">
        <v>39</v>
      </c>
      <c r="G591">
        <v>17</v>
      </c>
      <c r="H591" t="s">
        <v>236</v>
      </c>
      <c r="I591" t="s">
        <v>237</v>
      </c>
      <c r="J591" t="s">
        <v>42</v>
      </c>
      <c r="K591" t="s">
        <v>238</v>
      </c>
      <c r="L591" t="s">
        <v>239</v>
      </c>
      <c r="M591" t="s">
        <v>45</v>
      </c>
      <c r="N591" t="s">
        <v>46</v>
      </c>
      <c r="O591">
        <v>14</v>
      </c>
      <c r="P591">
        <v>48.837209302325597</v>
      </c>
      <c r="Q591">
        <v>620.4</v>
      </c>
      <c r="R591">
        <v>0</v>
      </c>
      <c r="S591">
        <v>50.236220472440898</v>
      </c>
      <c r="T591">
        <f t="shared" si="9"/>
        <v>0.50236220472440896</v>
      </c>
      <c r="U591" t="s">
        <v>221</v>
      </c>
      <c r="V591" t="s">
        <v>48</v>
      </c>
    </row>
    <row r="592" spans="1:22" x14ac:dyDescent="0.25">
      <c r="A592">
        <v>591</v>
      </c>
      <c r="B592" t="s">
        <v>217</v>
      </c>
      <c r="C592" s="2">
        <v>43373</v>
      </c>
      <c r="D592" t="s">
        <v>37</v>
      </c>
      <c r="F592" t="s">
        <v>39</v>
      </c>
      <c r="G592">
        <v>17</v>
      </c>
      <c r="H592" t="s">
        <v>240</v>
      </c>
      <c r="I592" t="s">
        <v>241</v>
      </c>
      <c r="J592" t="s">
        <v>42</v>
      </c>
      <c r="K592" t="s">
        <v>242</v>
      </c>
      <c r="L592" t="s">
        <v>111</v>
      </c>
      <c r="M592" t="s">
        <v>45</v>
      </c>
      <c r="N592" t="s">
        <v>46</v>
      </c>
      <c r="O592">
        <v>9</v>
      </c>
      <c r="P592">
        <v>67.914438502673804</v>
      </c>
      <c r="Q592">
        <v>701.1</v>
      </c>
      <c r="R592">
        <v>0</v>
      </c>
      <c r="S592">
        <v>56.521739130434803</v>
      </c>
      <c r="T592">
        <f t="shared" si="9"/>
        <v>0.565217391304348</v>
      </c>
      <c r="U592" t="s">
        <v>221</v>
      </c>
      <c r="V592" t="s">
        <v>48</v>
      </c>
    </row>
    <row r="593" spans="1:22" x14ac:dyDescent="0.25">
      <c r="A593">
        <v>592</v>
      </c>
      <c r="B593" t="s">
        <v>217</v>
      </c>
      <c r="C593" s="2">
        <v>43373</v>
      </c>
      <c r="D593" t="s">
        <v>37</v>
      </c>
      <c r="F593" t="s">
        <v>39</v>
      </c>
      <c r="G593">
        <v>17</v>
      </c>
      <c r="H593" t="s">
        <v>243</v>
      </c>
      <c r="I593" t="s">
        <v>244</v>
      </c>
      <c r="J593" t="s">
        <v>42</v>
      </c>
      <c r="K593" t="s">
        <v>245</v>
      </c>
      <c r="L593" t="s">
        <v>246</v>
      </c>
      <c r="M593" t="s">
        <v>45</v>
      </c>
      <c r="N593" t="s">
        <v>46</v>
      </c>
      <c r="O593">
        <v>10</v>
      </c>
      <c r="P593">
        <v>55.5555555555556</v>
      </c>
      <c r="Q593">
        <v>523.5</v>
      </c>
      <c r="R593">
        <v>0</v>
      </c>
      <c r="S593">
        <v>48.313090418353603</v>
      </c>
      <c r="T593">
        <f t="shared" si="9"/>
        <v>0.48313090418353605</v>
      </c>
      <c r="U593" t="s">
        <v>221</v>
      </c>
      <c r="V593" t="s">
        <v>48</v>
      </c>
    </row>
    <row r="594" spans="1:22" x14ac:dyDescent="0.25">
      <c r="A594">
        <v>593</v>
      </c>
      <c r="B594" t="s">
        <v>217</v>
      </c>
      <c r="C594" s="2">
        <v>43373</v>
      </c>
      <c r="D594" t="s">
        <v>37</v>
      </c>
      <c r="F594" t="s">
        <v>39</v>
      </c>
      <c r="G594">
        <v>17</v>
      </c>
      <c r="H594" t="s">
        <v>247</v>
      </c>
      <c r="I594" t="s">
        <v>248</v>
      </c>
      <c r="J594" t="s">
        <v>42</v>
      </c>
      <c r="K594" t="s">
        <v>249</v>
      </c>
      <c r="L594" t="s">
        <v>250</v>
      </c>
      <c r="M594" t="s">
        <v>45</v>
      </c>
      <c r="N594" t="s">
        <v>46</v>
      </c>
      <c r="O594">
        <v>6</v>
      </c>
      <c r="P594">
        <v>8.5714285714285694</v>
      </c>
      <c r="Q594">
        <v>506.5</v>
      </c>
      <c r="R594">
        <v>0</v>
      </c>
      <c r="S594">
        <v>70.769230769230802</v>
      </c>
      <c r="T594">
        <f t="shared" si="9"/>
        <v>0.70769230769230806</v>
      </c>
      <c r="U594" t="s">
        <v>221</v>
      </c>
      <c r="V594" t="s">
        <v>48</v>
      </c>
    </row>
    <row r="595" spans="1:22" x14ac:dyDescent="0.25">
      <c r="A595">
        <v>594</v>
      </c>
      <c r="B595" t="s">
        <v>217</v>
      </c>
      <c r="C595" s="2">
        <v>43373</v>
      </c>
      <c r="D595" t="s">
        <v>37</v>
      </c>
      <c r="F595" t="s">
        <v>39</v>
      </c>
      <c r="G595">
        <v>16</v>
      </c>
      <c r="H595" t="s">
        <v>251</v>
      </c>
      <c r="I595" t="s">
        <v>252</v>
      </c>
      <c r="J595" t="s">
        <v>42</v>
      </c>
      <c r="K595" t="s">
        <v>253</v>
      </c>
      <c r="L595" t="s">
        <v>59</v>
      </c>
      <c r="M595" t="s">
        <v>45</v>
      </c>
      <c r="N595" t="s">
        <v>46</v>
      </c>
      <c r="O595">
        <v>15</v>
      </c>
      <c r="P595">
        <v>54.629629629629598</v>
      </c>
      <c r="Q595">
        <v>526.70000000000005</v>
      </c>
      <c r="R595">
        <v>0</v>
      </c>
      <c r="S595">
        <v>54.647256438969798</v>
      </c>
      <c r="T595">
        <f t="shared" si="9"/>
        <v>0.54647256438969793</v>
      </c>
      <c r="U595" t="s">
        <v>221</v>
      </c>
      <c r="V595" t="s">
        <v>48</v>
      </c>
    </row>
    <row r="596" spans="1:22" x14ac:dyDescent="0.25">
      <c r="A596">
        <v>595</v>
      </c>
      <c r="B596" t="s">
        <v>217</v>
      </c>
      <c r="C596" s="2">
        <v>43373</v>
      </c>
      <c r="D596" t="s">
        <v>37</v>
      </c>
      <c r="F596" t="s">
        <v>39</v>
      </c>
      <c r="G596">
        <v>17</v>
      </c>
      <c r="H596" t="s">
        <v>254</v>
      </c>
      <c r="I596" t="s">
        <v>255</v>
      </c>
      <c r="J596" t="s">
        <v>42</v>
      </c>
      <c r="K596" t="s">
        <v>256</v>
      </c>
      <c r="L596" t="s">
        <v>177</v>
      </c>
      <c r="M596" t="s">
        <v>101</v>
      </c>
      <c r="N596" t="s">
        <v>257</v>
      </c>
      <c r="O596">
        <v>65</v>
      </c>
      <c r="P596">
        <v>41.726618705036003</v>
      </c>
      <c r="Q596">
        <v>683.9</v>
      </c>
      <c r="R596">
        <v>0</v>
      </c>
      <c r="S596">
        <v>56.4625850340136</v>
      </c>
      <c r="T596">
        <f t="shared" si="9"/>
        <v>0.56462585034013602</v>
      </c>
      <c r="U596" t="s">
        <v>221</v>
      </c>
      <c r="V596" t="s">
        <v>48</v>
      </c>
    </row>
    <row r="597" spans="1:22" x14ac:dyDescent="0.25">
      <c r="A597">
        <v>596</v>
      </c>
      <c r="B597" t="s">
        <v>217</v>
      </c>
      <c r="C597" s="2">
        <v>43373</v>
      </c>
      <c r="D597" t="s">
        <v>37</v>
      </c>
      <c r="F597" t="s">
        <v>39</v>
      </c>
      <c r="G597">
        <v>17</v>
      </c>
      <c r="H597" t="s">
        <v>258</v>
      </c>
      <c r="I597" t="s">
        <v>259</v>
      </c>
      <c r="J597" t="s">
        <v>42</v>
      </c>
      <c r="K597" t="s">
        <v>260</v>
      </c>
      <c r="L597" t="s">
        <v>261</v>
      </c>
      <c r="M597" t="s">
        <v>45</v>
      </c>
      <c r="N597" t="s">
        <v>257</v>
      </c>
      <c r="O597">
        <v>26</v>
      </c>
      <c r="P597">
        <v>55.434782608695699</v>
      </c>
      <c r="Q597">
        <v>665.4</v>
      </c>
      <c r="R597">
        <v>0</v>
      </c>
      <c r="S597">
        <v>47.563486616334899</v>
      </c>
      <c r="T597">
        <f t="shared" si="9"/>
        <v>0.47563486616334899</v>
      </c>
      <c r="U597" t="s">
        <v>221</v>
      </c>
      <c r="V597" t="s">
        <v>48</v>
      </c>
    </row>
    <row r="598" spans="1:22" x14ac:dyDescent="0.25">
      <c r="A598">
        <v>597</v>
      </c>
      <c r="B598" t="s">
        <v>217</v>
      </c>
      <c r="C598" s="2">
        <v>43373</v>
      </c>
      <c r="D598" t="s">
        <v>37</v>
      </c>
      <c r="F598" t="s">
        <v>39</v>
      </c>
      <c r="G598">
        <v>17</v>
      </c>
      <c r="H598" t="s">
        <v>262</v>
      </c>
      <c r="I598" t="s">
        <v>263</v>
      </c>
      <c r="J598" t="s">
        <v>42</v>
      </c>
      <c r="K598" t="s">
        <v>264</v>
      </c>
      <c r="L598" t="s">
        <v>111</v>
      </c>
      <c r="M598" t="s">
        <v>101</v>
      </c>
      <c r="N598" t="s">
        <v>257</v>
      </c>
      <c r="O598">
        <v>18</v>
      </c>
      <c r="P598">
        <v>59.420289855072497</v>
      </c>
      <c r="Q598">
        <v>505.1</v>
      </c>
      <c r="R598">
        <v>0</v>
      </c>
      <c r="S598">
        <v>48.1375358166189</v>
      </c>
      <c r="T598">
        <f t="shared" si="9"/>
        <v>0.48137535816618898</v>
      </c>
      <c r="U598" t="s">
        <v>221</v>
      </c>
      <c r="V598" t="s">
        <v>48</v>
      </c>
    </row>
    <row r="599" spans="1:22" x14ac:dyDescent="0.25">
      <c r="A599">
        <v>598</v>
      </c>
      <c r="B599" t="s">
        <v>217</v>
      </c>
      <c r="C599" s="2">
        <v>43373</v>
      </c>
      <c r="D599" t="s">
        <v>37</v>
      </c>
      <c r="F599" t="s">
        <v>39</v>
      </c>
      <c r="G599">
        <v>17</v>
      </c>
      <c r="H599" t="s">
        <v>265</v>
      </c>
      <c r="I599" t="s">
        <v>266</v>
      </c>
      <c r="J599" t="s">
        <v>42</v>
      </c>
      <c r="K599" t="s">
        <v>267</v>
      </c>
      <c r="L599" t="s">
        <v>268</v>
      </c>
      <c r="M599" t="s">
        <v>45</v>
      </c>
      <c r="N599" t="s">
        <v>257</v>
      </c>
      <c r="O599">
        <v>20</v>
      </c>
      <c r="P599">
        <v>58.3333333333333</v>
      </c>
      <c r="Q599">
        <v>511.4</v>
      </c>
      <c r="R599">
        <v>0</v>
      </c>
      <c r="S599">
        <v>56.439393939393902</v>
      </c>
      <c r="T599">
        <f t="shared" si="9"/>
        <v>0.564393939393939</v>
      </c>
      <c r="U599" t="s">
        <v>221</v>
      </c>
      <c r="V599" t="s">
        <v>48</v>
      </c>
    </row>
    <row r="600" spans="1:22" x14ac:dyDescent="0.25">
      <c r="A600">
        <v>599</v>
      </c>
      <c r="B600" t="s">
        <v>217</v>
      </c>
      <c r="C600" s="2">
        <v>43373</v>
      </c>
      <c r="D600" t="s">
        <v>37</v>
      </c>
      <c r="F600" t="s">
        <v>39</v>
      </c>
      <c r="G600">
        <v>17</v>
      </c>
      <c r="H600" t="s">
        <v>269</v>
      </c>
      <c r="I600" t="s">
        <v>270</v>
      </c>
      <c r="J600" t="s">
        <v>42</v>
      </c>
      <c r="K600" t="s">
        <v>271</v>
      </c>
      <c r="L600" t="s">
        <v>111</v>
      </c>
      <c r="M600" t="s">
        <v>45</v>
      </c>
      <c r="N600" t="s">
        <v>257</v>
      </c>
      <c r="O600">
        <v>37</v>
      </c>
      <c r="P600">
        <v>43.75</v>
      </c>
      <c r="Q600">
        <v>361.6</v>
      </c>
      <c r="R600">
        <v>1</v>
      </c>
      <c r="S600">
        <v>80.734856007944401</v>
      </c>
      <c r="T600">
        <f t="shared" si="9"/>
        <v>0.807348560079444</v>
      </c>
      <c r="U600" t="s">
        <v>221</v>
      </c>
      <c r="V600" t="s">
        <v>48</v>
      </c>
    </row>
    <row r="601" spans="1:22" x14ac:dyDescent="0.25">
      <c r="A601">
        <v>600</v>
      </c>
      <c r="B601" t="s">
        <v>217</v>
      </c>
      <c r="C601" s="2">
        <v>43373</v>
      </c>
      <c r="D601" t="s">
        <v>37</v>
      </c>
      <c r="F601" t="s">
        <v>39</v>
      </c>
      <c r="G601">
        <v>17</v>
      </c>
      <c r="H601" t="s">
        <v>272</v>
      </c>
      <c r="I601" t="s">
        <v>273</v>
      </c>
      <c r="J601" t="s">
        <v>42</v>
      </c>
      <c r="K601" t="s">
        <v>274</v>
      </c>
      <c r="L601" t="s">
        <v>275</v>
      </c>
      <c r="M601" t="s">
        <v>101</v>
      </c>
      <c r="N601" t="s">
        <v>257</v>
      </c>
      <c r="O601">
        <v>66</v>
      </c>
      <c r="P601">
        <v>67.680608365018998</v>
      </c>
      <c r="Q601">
        <v>666.3</v>
      </c>
      <c r="R601">
        <v>0</v>
      </c>
      <c r="S601">
        <v>63.742166517457498</v>
      </c>
      <c r="T601">
        <f t="shared" si="9"/>
        <v>0.63742166517457499</v>
      </c>
      <c r="U601" t="s">
        <v>221</v>
      </c>
      <c r="V601" t="s">
        <v>48</v>
      </c>
    </row>
    <row r="602" spans="1:22" x14ac:dyDescent="0.25">
      <c r="A602">
        <v>601</v>
      </c>
      <c r="B602" t="s">
        <v>217</v>
      </c>
      <c r="C602" s="2">
        <v>43373</v>
      </c>
      <c r="D602" t="s">
        <v>37</v>
      </c>
      <c r="F602" t="s">
        <v>39</v>
      </c>
      <c r="G602">
        <v>17</v>
      </c>
      <c r="H602" t="s">
        <v>276</v>
      </c>
      <c r="I602" t="s">
        <v>277</v>
      </c>
      <c r="J602" t="s">
        <v>42</v>
      </c>
      <c r="K602" t="s">
        <v>278</v>
      </c>
      <c r="L602" t="s">
        <v>177</v>
      </c>
      <c r="M602" t="s">
        <v>101</v>
      </c>
      <c r="N602" t="s">
        <v>257</v>
      </c>
      <c r="O602">
        <v>49</v>
      </c>
      <c r="P602">
        <v>52.8735632183908</v>
      </c>
      <c r="Q602">
        <v>695.6</v>
      </c>
      <c r="R602">
        <v>0</v>
      </c>
      <c r="S602">
        <v>47.864768683274001</v>
      </c>
      <c r="T602">
        <f t="shared" si="9"/>
        <v>0.47864768683274</v>
      </c>
      <c r="U602" t="s">
        <v>221</v>
      </c>
      <c r="V602" t="s">
        <v>48</v>
      </c>
    </row>
    <row r="603" spans="1:22" x14ac:dyDescent="0.25">
      <c r="A603">
        <v>602</v>
      </c>
      <c r="B603" t="s">
        <v>217</v>
      </c>
      <c r="C603" s="2">
        <v>43373</v>
      </c>
      <c r="D603" t="s">
        <v>37</v>
      </c>
      <c r="F603" t="s">
        <v>39</v>
      </c>
      <c r="G603">
        <v>17</v>
      </c>
      <c r="H603" t="s">
        <v>279</v>
      </c>
      <c r="I603" t="s">
        <v>280</v>
      </c>
      <c r="J603" t="s">
        <v>42</v>
      </c>
      <c r="K603" t="s">
        <v>281</v>
      </c>
      <c r="L603" t="s">
        <v>177</v>
      </c>
      <c r="M603" t="s">
        <v>45</v>
      </c>
      <c r="N603" t="s">
        <v>257</v>
      </c>
      <c r="O603">
        <v>17</v>
      </c>
      <c r="P603">
        <v>52.7777777777778</v>
      </c>
      <c r="Q603">
        <v>554.29999999999995</v>
      </c>
      <c r="R603">
        <v>0</v>
      </c>
      <c r="S603">
        <v>56.661045531197303</v>
      </c>
      <c r="T603">
        <f t="shared" si="9"/>
        <v>0.56661045531197307</v>
      </c>
      <c r="U603" t="s">
        <v>221</v>
      </c>
      <c r="V603" t="s">
        <v>48</v>
      </c>
    </row>
    <row r="604" spans="1:22" x14ac:dyDescent="0.25">
      <c r="A604">
        <v>603</v>
      </c>
      <c r="B604" t="s">
        <v>217</v>
      </c>
      <c r="C604" s="2">
        <v>43373</v>
      </c>
      <c r="D604" t="s">
        <v>37</v>
      </c>
      <c r="F604" t="s">
        <v>39</v>
      </c>
      <c r="G604">
        <v>17</v>
      </c>
      <c r="H604" t="s">
        <v>282</v>
      </c>
      <c r="I604" t="s">
        <v>283</v>
      </c>
      <c r="J604" t="s">
        <v>42</v>
      </c>
      <c r="K604" t="s">
        <v>284</v>
      </c>
      <c r="L604" t="s">
        <v>285</v>
      </c>
      <c r="M604" t="s">
        <v>101</v>
      </c>
      <c r="N604" t="s">
        <v>257</v>
      </c>
      <c r="O604">
        <v>120</v>
      </c>
      <c r="P604">
        <v>27.272727272727298</v>
      </c>
      <c r="Q604">
        <v>469.9</v>
      </c>
      <c r="R604">
        <v>1</v>
      </c>
      <c r="S604">
        <v>55.900621118012403</v>
      </c>
      <c r="T604">
        <f t="shared" si="9"/>
        <v>0.55900621118012406</v>
      </c>
      <c r="U604" t="s">
        <v>221</v>
      </c>
      <c r="V604" t="s">
        <v>48</v>
      </c>
    </row>
    <row r="605" spans="1:22" x14ac:dyDescent="0.25">
      <c r="A605">
        <v>604</v>
      </c>
      <c r="B605" t="s">
        <v>217</v>
      </c>
      <c r="C605" s="2">
        <v>43373</v>
      </c>
      <c r="D605" t="s">
        <v>37</v>
      </c>
      <c r="F605" t="s">
        <v>39</v>
      </c>
      <c r="G605">
        <v>17</v>
      </c>
      <c r="H605" t="s">
        <v>286</v>
      </c>
      <c r="I605" t="s">
        <v>287</v>
      </c>
      <c r="J605" t="s">
        <v>42</v>
      </c>
      <c r="K605" t="s">
        <v>288</v>
      </c>
      <c r="L605" t="s">
        <v>289</v>
      </c>
      <c r="M605" t="s">
        <v>45</v>
      </c>
      <c r="N605" t="s">
        <v>257</v>
      </c>
      <c r="O605">
        <v>32</v>
      </c>
      <c r="P605">
        <v>58.9403973509934</v>
      </c>
      <c r="Q605">
        <v>589.6</v>
      </c>
      <c r="R605">
        <v>0</v>
      </c>
      <c r="S605">
        <v>55.608108108108098</v>
      </c>
      <c r="T605">
        <f t="shared" si="9"/>
        <v>0.55608108108108101</v>
      </c>
      <c r="U605" t="s">
        <v>221</v>
      </c>
      <c r="V605" t="s">
        <v>48</v>
      </c>
    </row>
    <row r="606" spans="1:22" x14ac:dyDescent="0.25">
      <c r="A606">
        <v>605</v>
      </c>
      <c r="B606" t="s">
        <v>217</v>
      </c>
      <c r="C606" s="2">
        <v>43373</v>
      </c>
      <c r="D606" t="s">
        <v>37</v>
      </c>
      <c r="F606" t="s">
        <v>39</v>
      </c>
      <c r="G606">
        <v>17</v>
      </c>
      <c r="H606" t="s">
        <v>290</v>
      </c>
      <c r="I606" t="s">
        <v>291</v>
      </c>
      <c r="J606" t="s">
        <v>42</v>
      </c>
      <c r="K606" t="s">
        <v>292</v>
      </c>
      <c r="L606" t="s">
        <v>293</v>
      </c>
      <c r="M606" t="s">
        <v>101</v>
      </c>
      <c r="N606" t="s">
        <v>294</v>
      </c>
      <c r="O606">
        <v>30</v>
      </c>
      <c r="P606">
        <v>80</v>
      </c>
      <c r="Q606">
        <v>529.4</v>
      </c>
      <c r="R606">
        <v>0</v>
      </c>
      <c r="S606">
        <v>59.712230215827297</v>
      </c>
      <c r="T606">
        <f t="shared" si="9"/>
        <v>0.597122302158273</v>
      </c>
      <c r="U606" t="s">
        <v>221</v>
      </c>
      <c r="V606" t="s">
        <v>295</v>
      </c>
    </row>
    <row r="607" spans="1:22" x14ac:dyDescent="0.25">
      <c r="A607">
        <v>606</v>
      </c>
      <c r="B607" t="s">
        <v>217</v>
      </c>
      <c r="C607" s="2">
        <v>43373</v>
      </c>
      <c r="D607" t="s">
        <v>37</v>
      </c>
      <c r="F607" t="s">
        <v>39</v>
      </c>
      <c r="G607">
        <v>17</v>
      </c>
      <c r="H607" t="s">
        <v>296</v>
      </c>
      <c r="I607" t="s">
        <v>297</v>
      </c>
      <c r="J607" t="s">
        <v>42</v>
      </c>
      <c r="K607" t="s">
        <v>298</v>
      </c>
      <c r="L607" t="s">
        <v>293</v>
      </c>
      <c r="M607" t="s">
        <v>101</v>
      </c>
      <c r="N607" t="s">
        <v>294</v>
      </c>
      <c r="O607">
        <v>12</v>
      </c>
      <c r="P607">
        <v>60</v>
      </c>
      <c r="Q607">
        <v>639.6</v>
      </c>
      <c r="R607">
        <v>0</v>
      </c>
      <c r="S607">
        <v>53.914988814317702</v>
      </c>
      <c r="T607">
        <f t="shared" si="9"/>
        <v>0.53914988814317699</v>
      </c>
      <c r="U607" t="s">
        <v>221</v>
      </c>
      <c r="V607" t="s">
        <v>295</v>
      </c>
    </row>
    <row r="608" spans="1:22" x14ac:dyDescent="0.25">
      <c r="A608">
        <v>607</v>
      </c>
      <c r="B608" t="s">
        <v>217</v>
      </c>
      <c r="C608" s="2">
        <v>43373</v>
      </c>
      <c r="D608" t="s">
        <v>37</v>
      </c>
      <c r="F608" t="s">
        <v>39</v>
      </c>
      <c r="G608">
        <v>17</v>
      </c>
      <c r="H608" t="s">
        <v>299</v>
      </c>
      <c r="I608" t="s">
        <v>300</v>
      </c>
      <c r="J608" t="s">
        <v>42</v>
      </c>
      <c r="K608" t="s">
        <v>301</v>
      </c>
      <c r="L608" t="s">
        <v>302</v>
      </c>
      <c r="M608" t="s">
        <v>45</v>
      </c>
      <c r="N608" t="s">
        <v>294</v>
      </c>
      <c r="O608">
        <v>24</v>
      </c>
      <c r="P608">
        <v>41.6666666666667</v>
      </c>
      <c r="Q608">
        <v>602.5</v>
      </c>
      <c r="R608">
        <v>0</v>
      </c>
      <c r="S608">
        <v>66</v>
      </c>
      <c r="T608">
        <f t="shared" si="9"/>
        <v>0.66</v>
      </c>
      <c r="U608" t="s">
        <v>221</v>
      </c>
      <c r="V608" t="s">
        <v>295</v>
      </c>
    </row>
    <row r="609" spans="1:22" x14ac:dyDescent="0.25">
      <c r="A609">
        <v>608</v>
      </c>
      <c r="B609" t="s">
        <v>217</v>
      </c>
      <c r="C609" s="2">
        <v>43373</v>
      </c>
      <c r="D609" t="s">
        <v>37</v>
      </c>
      <c r="F609" t="s">
        <v>39</v>
      </c>
      <c r="G609">
        <v>17</v>
      </c>
      <c r="H609" t="s">
        <v>303</v>
      </c>
      <c r="I609" t="s">
        <v>304</v>
      </c>
      <c r="J609" t="s">
        <v>42</v>
      </c>
      <c r="K609" t="s">
        <v>305</v>
      </c>
      <c r="L609" t="s">
        <v>250</v>
      </c>
      <c r="M609" t="s">
        <v>101</v>
      </c>
      <c r="N609" t="s">
        <v>294</v>
      </c>
      <c r="O609">
        <v>38</v>
      </c>
      <c r="P609">
        <v>68.571428571428598</v>
      </c>
      <c r="Q609">
        <v>557.1</v>
      </c>
      <c r="R609">
        <v>0</v>
      </c>
      <c r="S609">
        <v>51.859099804305302</v>
      </c>
      <c r="T609">
        <f t="shared" si="9"/>
        <v>0.51859099804305298</v>
      </c>
      <c r="U609" t="s">
        <v>221</v>
      </c>
      <c r="V609" t="s">
        <v>295</v>
      </c>
    </row>
    <row r="610" spans="1:22" x14ac:dyDescent="0.25">
      <c r="A610">
        <v>609</v>
      </c>
      <c r="B610" t="s">
        <v>217</v>
      </c>
      <c r="C610" s="2">
        <v>43373</v>
      </c>
      <c r="D610" t="s">
        <v>37</v>
      </c>
      <c r="F610" t="s">
        <v>39</v>
      </c>
      <c r="G610">
        <v>17</v>
      </c>
      <c r="H610" t="s">
        <v>306</v>
      </c>
      <c r="I610" t="s">
        <v>307</v>
      </c>
      <c r="J610" t="s">
        <v>42</v>
      </c>
      <c r="K610" t="s">
        <v>308</v>
      </c>
      <c r="L610" t="s">
        <v>250</v>
      </c>
      <c r="M610" t="s">
        <v>101</v>
      </c>
      <c r="N610" t="s">
        <v>294</v>
      </c>
      <c r="O610">
        <v>14</v>
      </c>
      <c r="P610">
        <v>59.036144578313298</v>
      </c>
      <c r="Q610">
        <v>571.70000000000005</v>
      </c>
      <c r="R610">
        <v>0</v>
      </c>
      <c r="S610">
        <v>45.616264294790298</v>
      </c>
      <c r="T610">
        <f t="shared" si="9"/>
        <v>0.45616264294790299</v>
      </c>
      <c r="U610" t="s">
        <v>221</v>
      </c>
      <c r="V610" t="s">
        <v>295</v>
      </c>
    </row>
    <row r="611" spans="1:22" x14ac:dyDescent="0.25">
      <c r="A611">
        <v>610</v>
      </c>
      <c r="B611" t="s">
        <v>217</v>
      </c>
      <c r="C611" s="2">
        <v>43373</v>
      </c>
      <c r="D611" t="s">
        <v>37</v>
      </c>
      <c r="F611" t="s">
        <v>39</v>
      </c>
      <c r="G611">
        <v>17</v>
      </c>
      <c r="H611" t="s">
        <v>309</v>
      </c>
      <c r="I611" t="s">
        <v>310</v>
      </c>
      <c r="J611" t="s">
        <v>42</v>
      </c>
      <c r="K611" t="s">
        <v>311</v>
      </c>
      <c r="L611" t="s">
        <v>250</v>
      </c>
      <c r="M611" t="s">
        <v>101</v>
      </c>
      <c r="N611" t="s">
        <v>294</v>
      </c>
      <c r="O611">
        <v>34</v>
      </c>
      <c r="P611">
        <v>39.705882352941202</v>
      </c>
      <c r="Q611">
        <v>505.5</v>
      </c>
      <c r="R611">
        <v>0</v>
      </c>
      <c r="S611">
        <v>66</v>
      </c>
      <c r="T611">
        <f t="shared" si="9"/>
        <v>0.66</v>
      </c>
      <c r="U611" t="s">
        <v>221</v>
      </c>
      <c r="V611" t="s">
        <v>295</v>
      </c>
    </row>
    <row r="612" spans="1:22" x14ac:dyDescent="0.25">
      <c r="A612">
        <v>611</v>
      </c>
      <c r="B612" t="s">
        <v>217</v>
      </c>
      <c r="C612" s="2">
        <v>43373</v>
      </c>
      <c r="D612" t="s">
        <v>37</v>
      </c>
      <c r="F612" t="s">
        <v>39</v>
      </c>
      <c r="G612">
        <v>17</v>
      </c>
      <c r="H612" t="s">
        <v>312</v>
      </c>
      <c r="I612" t="s">
        <v>313</v>
      </c>
      <c r="J612" t="s">
        <v>42</v>
      </c>
      <c r="K612" t="s">
        <v>314</v>
      </c>
      <c r="L612" t="s">
        <v>250</v>
      </c>
      <c r="M612" t="s">
        <v>101</v>
      </c>
      <c r="N612" t="s">
        <v>294</v>
      </c>
      <c r="O612">
        <v>28</v>
      </c>
      <c r="P612">
        <v>61.792452830188701</v>
      </c>
      <c r="Q612">
        <v>577.6</v>
      </c>
      <c r="R612">
        <v>0</v>
      </c>
      <c r="S612">
        <v>55.072463768116002</v>
      </c>
      <c r="T612">
        <f t="shared" si="9"/>
        <v>0.55072463768115998</v>
      </c>
      <c r="U612" t="s">
        <v>221</v>
      </c>
      <c r="V612" t="s">
        <v>295</v>
      </c>
    </row>
    <row r="613" spans="1:22" x14ac:dyDescent="0.25">
      <c r="A613">
        <v>612</v>
      </c>
      <c r="B613" t="s">
        <v>217</v>
      </c>
      <c r="C613" s="2">
        <v>43373</v>
      </c>
      <c r="D613" t="s">
        <v>37</v>
      </c>
      <c r="F613" t="s">
        <v>39</v>
      </c>
      <c r="G613">
        <v>17</v>
      </c>
      <c r="H613" t="s">
        <v>315</v>
      </c>
      <c r="I613" t="s">
        <v>316</v>
      </c>
      <c r="J613" t="s">
        <v>42</v>
      </c>
      <c r="K613" t="s">
        <v>317</v>
      </c>
      <c r="L613" t="s">
        <v>185</v>
      </c>
      <c r="M613" t="s">
        <v>101</v>
      </c>
      <c r="N613" t="s">
        <v>294</v>
      </c>
      <c r="O613">
        <v>28</v>
      </c>
      <c r="P613">
        <v>57.142857142857103</v>
      </c>
      <c r="Q613">
        <v>733</v>
      </c>
      <c r="R613">
        <v>0</v>
      </c>
      <c r="S613">
        <v>47.026022304832701</v>
      </c>
      <c r="T613">
        <f t="shared" si="9"/>
        <v>0.47026022304832699</v>
      </c>
      <c r="U613" t="s">
        <v>221</v>
      </c>
      <c r="V613" t="s">
        <v>295</v>
      </c>
    </row>
    <row r="614" spans="1:22" x14ac:dyDescent="0.25">
      <c r="A614">
        <v>613</v>
      </c>
      <c r="B614" t="s">
        <v>217</v>
      </c>
      <c r="C614" s="2">
        <v>43373</v>
      </c>
      <c r="D614" t="s">
        <v>37</v>
      </c>
      <c r="F614" t="s">
        <v>39</v>
      </c>
      <c r="G614">
        <v>17</v>
      </c>
      <c r="H614" t="s">
        <v>318</v>
      </c>
      <c r="I614" t="s">
        <v>319</v>
      </c>
      <c r="J614" t="s">
        <v>109</v>
      </c>
      <c r="K614" t="s">
        <v>320</v>
      </c>
      <c r="L614" t="s">
        <v>185</v>
      </c>
      <c r="M614" t="s">
        <v>101</v>
      </c>
      <c r="N614" t="s">
        <v>294</v>
      </c>
      <c r="O614">
        <v>26</v>
      </c>
      <c r="P614">
        <v>39.130434782608702</v>
      </c>
      <c r="Q614">
        <v>561</v>
      </c>
      <c r="R614">
        <v>0</v>
      </c>
      <c r="S614">
        <v>43.5994930291508</v>
      </c>
      <c r="T614">
        <f t="shared" si="9"/>
        <v>0.43599493029150799</v>
      </c>
      <c r="U614" t="s">
        <v>221</v>
      </c>
      <c r="V614" t="s">
        <v>295</v>
      </c>
    </row>
    <row r="615" spans="1:22" x14ac:dyDescent="0.25">
      <c r="A615">
        <v>614</v>
      </c>
      <c r="B615" t="s">
        <v>217</v>
      </c>
      <c r="C615" s="2">
        <v>43373</v>
      </c>
      <c r="D615" t="s">
        <v>37</v>
      </c>
      <c r="F615" t="s">
        <v>39</v>
      </c>
      <c r="G615">
        <v>17</v>
      </c>
      <c r="H615" t="s">
        <v>321</v>
      </c>
      <c r="I615" t="s">
        <v>322</v>
      </c>
      <c r="J615" t="s">
        <v>42</v>
      </c>
      <c r="K615" t="s">
        <v>323</v>
      </c>
      <c r="L615" t="s">
        <v>185</v>
      </c>
      <c r="M615" t="s">
        <v>101</v>
      </c>
      <c r="N615" t="s">
        <v>294</v>
      </c>
      <c r="O615">
        <v>19</v>
      </c>
      <c r="P615">
        <v>39.5833333333333</v>
      </c>
      <c r="Q615">
        <v>545.4</v>
      </c>
      <c r="R615">
        <v>0</v>
      </c>
      <c r="S615">
        <v>48.460420245804102</v>
      </c>
      <c r="T615">
        <f t="shared" si="9"/>
        <v>0.48460420245804103</v>
      </c>
      <c r="U615" t="s">
        <v>221</v>
      </c>
      <c r="V615" t="s">
        <v>295</v>
      </c>
    </row>
    <row r="616" spans="1:22" x14ac:dyDescent="0.25">
      <c r="A616">
        <v>615</v>
      </c>
      <c r="B616" t="s">
        <v>217</v>
      </c>
      <c r="C616" s="2">
        <v>43377</v>
      </c>
      <c r="D616" t="s">
        <v>37</v>
      </c>
      <c r="F616" t="s">
        <v>39</v>
      </c>
      <c r="G616">
        <v>18</v>
      </c>
      <c r="H616" t="s">
        <v>218</v>
      </c>
      <c r="I616" t="s">
        <v>219</v>
      </c>
      <c r="J616" t="s">
        <v>42</v>
      </c>
      <c r="K616" t="s">
        <v>220</v>
      </c>
      <c r="L616" t="s">
        <v>44</v>
      </c>
      <c r="M616" t="s">
        <v>45</v>
      </c>
      <c r="N616" t="s">
        <v>46</v>
      </c>
      <c r="O616">
        <v>19</v>
      </c>
      <c r="P616">
        <v>46.296296296296298</v>
      </c>
      <c r="Q616">
        <v>561.5</v>
      </c>
      <c r="R616">
        <v>0</v>
      </c>
      <c r="S616">
        <v>55.46875</v>
      </c>
      <c r="T616">
        <f t="shared" si="9"/>
        <v>0.5546875</v>
      </c>
      <c r="U616" t="s">
        <v>221</v>
      </c>
      <c r="V616" t="s">
        <v>48</v>
      </c>
    </row>
    <row r="617" spans="1:22" x14ac:dyDescent="0.25">
      <c r="A617">
        <v>616</v>
      </c>
      <c r="B617" t="s">
        <v>217</v>
      </c>
      <c r="C617" s="2">
        <v>43377</v>
      </c>
      <c r="D617" t="s">
        <v>37</v>
      </c>
      <c r="F617" t="s">
        <v>39</v>
      </c>
      <c r="G617">
        <v>18</v>
      </c>
      <c r="H617" t="s">
        <v>222</v>
      </c>
      <c r="I617" t="s">
        <v>223</v>
      </c>
      <c r="J617" t="s">
        <v>42</v>
      </c>
      <c r="K617" t="s">
        <v>224</v>
      </c>
      <c r="L617" t="s">
        <v>225</v>
      </c>
      <c r="M617" t="s">
        <v>45</v>
      </c>
      <c r="N617" t="s">
        <v>46</v>
      </c>
      <c r="O617">
        <v>9</v>
      </c>
      <c r="P617">
        <v>67.241379310344797</v>
      </c>
      <c r="Q617">
        <v>674.2</v>
      </c>
      <c r="R617">
        <v>0</v>
      </c>
      <c r="S617">
        <v>45.686900958466502</v>
      </c>
      <c r="T617">
        <f t="shared" si="9"/>
        <v>0.45686900958466503</v>
      </c>
      <c r="U617" t="s">
        <v>221</v>
      </c>
      <c r="V617" t="s">
        <v>48</v>
      </c>
    </row>
    <row r="618" spans="1:22" x14ac:dyDescent="0.25">
      <c r="A618">
        <v>617</v>
      </c>
      <c r="B618" t="s">
        <v>217</v>
      </c>
      <c r="C618" s="2">
        <v>43377</v>
      </c>
      <c r="D618" t="s">
        <v>37</v>
      </c>
      <c r="F618" t="s">
        <v>39</v>
      </c>
      <c r="G618">
        <v>18</v>
      </c>
      <c r="H618" t="s">
        <v>226</v>
      </c>
      <c r="I618" t="s">
        <v>227</v>
      </c>
      <c r="J618" t="s">
        <v>42</v>
      </c>
      <c r="K618" t="s">
        <v>228</v>
      </c>
      <c r="L618" t="s">
        <v>225</v>
      </c>
      <c r="M618" t="s">
        <v>45</v>
      </c>
      <c r="N618" t="s">
        <v>46</v>
      </c>
      <c r="O618">
        <v>51</v>
      </c>
      <c r="P618">
        <v>40.350877192982502</v>
      </c>
      <c r="Q618">
        <v>633.20000000000005</v>
      </c>
      <c r="R618">
        <v>0</v>
      </c>
      <c r="S618">
        <v>49.261083743842399</v>
      </c>
      <c r="T618">
        <f t="shared" si="9"/>
        <v>0.49261083743842399</v>
      </c>
      <c r="U618" t="s">
        <v>221</v>
      </c>
      <c r="V618" t="s">
        <v>48</v>
      </c>
    </row>
    <row r="619" spans="1:22" x14ac:dyDescent="0.25">
      <c r="A619">
        <v>618</v>
      </c>
      <c r="B619" t="s">
        <v>217</v>
      </c>
      <c r="C619" s="2">
        <v>43377</v>
      </c>
      <c r="D619" t="s">
        <v>37</v>
      </c>
      <c r="F619" t="s">
        <v>39</v>
      </c>
      <c r="G619">
        <v>18</v>
      </c>
      <c r="H619" t="s">
        <v>229</v>
      </c>
      <c r="I619" t="s">
        <v>230</v>
      </c>
      <c r="J619" t="s">
        <v>42</v>
      </c>
      <c r="K619" t="s">
        <v>231</v>
      </c>
      <c r="L619" t="s">
        <v>232</v>
      </c>
      <c r="M619" t="s">
        <v>45</v>
      </c>
      <c r="N619" t="s">
        <v>46</v>
      </c>
      <c r="O619">
        <v>47</v>
      </c>
      <c r="P619">
        <v>52.941176470588204</v>
      </c>
      <c r="Q619">
        <v>681.4</v>
      </c>
      <c r="R619">
        <v>0</v>
      </c>
      <c r="S619">
        <v>55.8139534883721</v>
      </c>
      <c r="T619">
        <f t="shared" si="9"/>
        <v>0.55813953488372103</v>
      </c>
      <c r="U619" t="s">
        <v>221</v>
      </c>
      <c r="V619" t="s">
        <v>48</v>
      </c>
    </row>
    <row r="620" spans="1:22" x14ac:dyDescent="0.25">
      <c r="A620">
        <v>619</v>
      </c>
      <c r="B620" t="s">
        <v>217</v>
      </c>
      <c r="C620" s="2">
        <v>43377</v>
      </c>
      <c r="D620" t="s">
        <v>37</v>
      </c>
      <c r="F620" t="s">
        <v>39</v>
      </c>
      <c r="G620">
        <v>18</v>
      </c>
      <c r="H620" t="s">
        <v>233</v>
      </c>
      <c r="I620" t="s">
        <v>234</v>
      </c>
      <c r="J620" t="s">
        <v>42</v>
      </c>
      <c r="K620" t="s">
        <v>235</v>
      </c>
      <c r="L620" t="s">
        <v>232</v>
      </c>
      <c r="M620" t="s">
        <v>45</v>
      </c>
      <c r="N620" t="s">
        <v>46</v>
      </c>
      <c r="O620">
        <v>56</v>
      </c>
      <c r="P620">
        <v>59.523809523809497</v>
      </c>
      <c r="Q620">
        <v>691.3</v>
      </c>
      <c r="R620">
        <v>0</v>
      </c>
      <c r="S620">
        <v>58.134920634920597</v>
      </c>
      <c r="T620">
        <f t="shared" si="9"/>
        <v>0.58134920634920595</v>
      </c>
      <c r="U620" t="s">
        <v>221</v>
      </c>
      <c r="V620" t="s">
        <v>48</v>
      </c>
    </row>
    <row r="621" spans="1:22" x14ac:dyDescent="0.25">
      <c r="A621">
        <v>620</v>
      </c>
      <c r="B621" t="s">
        <v>217</v>
      </c>
      <c r="C621" s="2">
        <v>43377</v>
      </c>
      <c r="D621" t="s">
        <v>37</v>
      </c>
      <c r="F621" t="s">
        <v>39</v>
      </c>
      <c r="G621">
        <v>18</v>
      </c>
      <c r="H621" t="s">
        <v>236</v>
      </c>
      <c r="I621" t="s">
        <v>237</v>
      </c>
      <c r="J621" t="s">
        <v>42</v>
      </c>
      <c r="K621" t="s">
        <v>238</v>
      </c>
      <c r="L621" t="s">
        <v>239</v>
      </c>
      <c r="M621" t="s">
        <v>45</v>
      </c>
      <c r="N621" t="s">
        <v>46</v>
      </c>
      <c r="O621">
        <v>60</v>
      </c>
      <c r="P621">
        <v>43.75</v>
      </c>
      <c r="Q621">
        <v>557.29999999999995</v>
      </c>
      <c r="R621">
        <v>0</v>
      </c>
      <c r="S621">
        <v>52.903225806451601</v>
      </c>
      <c r="T621">
        <f t="shared" si="9"/>
        <v>0.52903225806451604</v>
      </c>
      <c r="U621" t="s">
        <v>221</v>
      </c>
      <c r="V621" t="s">
        <v>48</v>
      </c>
    </row>
    <row r="622" spans="1:22" x14ac:dyDescent="0.25">
      <c r="A622">
        <v>621</v>
      </c>
      <c r="B622" t="s">
        <v>217</v>
      </c>
      <c r="C622" s="2">
        <v>43377</v>
      </c>
      <c r="D622" t="s">
        <v>37</v>
      </c>
      <c r="F622" t="s">
        <v>39</v>
      </c>
      <c r="G622">
        <v>18</v>
      </c>
      <c r="H622" t="s">
        <v>240</v>
      </c>
      <c r="I622" t="s">
        <v>241</v>
      </c>
      <c r="J622" t="s">
        <v>42</v>
      </c>
      <c r="K622" t="s">
        <v>242</v>
      </c>
      <c r="L622" t="s">
        <v>111</v>
      </c>
      <c r="M622" t="s">
        <v>45</v>
      </c>
      <c r="N622" t="s">
        <v>46</v>
      </c>
      <c r="O622">
        <v>12</v>
      </c>
      <c r="P622">
        <v>78.571428571428598</v>
      </c>
      <c r="Q622">
        <v>537.5</v>
      </c>
      <c r="R622">
        <v>0</v>
      </c>
      <c r="S622">
        <v>54.716981132075503</v>
      </c>
      <c r="T622">
        <f t="shared" si="9"/>
        <v>0.54716981132075504</v>
      </c>
      <c r="U622" t="s">
        <v>221</v>
      </c>
      <c r="V622" t="s">
        <v>48</v>
      </c>
    </row>
    <row r="623" spans="1:22" x14ac:dyDescent="0.25">
      <c r="A623">
        <v>622</v>
      </c>
      <c r="B623" t="s">
        <v>217</v>
      </c>
      <c r="C623" s="2">
        <v>43377</v>
      </c>
      <c r="D623" t="s">
        <v>37</v>
      </c>
      <c r="F623" t="s">
        <v>39</v>
      </c>
      <c r="G623">
        <v>18</v>
      </c>
      <c r="H623" t="s">
        <v>243</v>
      </c>
      <c r="I623" t="s">
        <v>244</v>
      </c>
      <c r="J623" t="s">
        <v>42</v>
      </c>
      <c r="K623" t="s">
        <v>245</v>
      </c>
      <c r="L623" t="s">
        <v>246</v>
      </c>
      <c r="M623" t="s">
        <v>45</v>
      </c>
      <c r="N623" t="s">
        <v>46</v>
      </c>
      <c r="O623">
        <v>57</v>
      </c>
      <c r="P623">
        <v>79.310344827586206</v>
      </c>
      <c r="Q623">
        <v>660.7</v>
      </c>
      <c r="R623">
        <v>0</v>
      </c>
      <c r="S623">
        <v>43.8721136767318</v>
      </c>
      <c r="T623">
        <f t="shared" si="9"/>
        <v>0.438721136767318</v>
      </c>
      <c r="U623" t="s">
        <v>221</v>
      </c>
      <c r="V623" t="s">
        <v>48</v>
      </c>
    </row>
    <row r="624" spans="1:22" x14ac:dyDescent="0.25">
      <c r="A624">
        <v>623</v>
      </c>
      <c r="B624" t="s">
        <v>217</v>
      </c>
      <c r="C624" s="2">
        <v>43377</v>
      </c>
      <c r="D624" t="s">
        <v>37</v>
      </c>
      <c r="F624" t="s">
        <v>39</v>
      </c>
      <c r="G624">
        <v>18</v>
      </c>
      <c r="H624" t="s">
        <v>247</v>
      </c>
      <c r="I624" t="s">
        <v>248</v>
      </c>
      <c r="J624" t="s">
        <v>42</v>
      </c>
      <c r="K624" t="s">
        <v>249</v>
      </c>
      <c r="L624" t="s">
        <v>250</v>
      </c>
      <c r="M624" t="s">
        <v>45</v>
      </c>
      <c r="N624" t="s">
        <v>46</v>
      </c>
      <c r="O624">
        <v>18</v>
      </c>
      <c r="P624">
        <v>25</v>
      </c>
      <c r="Q624">
        <v>444.9</v>
      </c>
      <c r="R624">
        <v>0</v>
      </c>
      <c r="S624">
        <v>74.208144796380097</v>
      </c>
      <c r="T624">
        <f t="shared" si="9"/>
        <v>0.74208144796380093</v>
      </c>
      <c r="U624" t="s">
        <v>221</v>
      </c>
      <c r="V624" t="s">
        <v>48</v>
      </c>
    </row>
    <row r="625" spans="1:22" x14ac:dyDescent="0.25">
      <c r="A625">
        <v>624</v>
      </c>
      <c r="B625" t="s">
        <v>217</v>
      </c>
      <c r="C625" s="2">
        <v>43377</v>
      </c>
      <c r="D625" t="s">
        <v>37</v>
      </c>
      <c r="F625" t="s">
        <v>39</v>
      </c>
      <c r="G625">
        <v>17</v>
      </c>
      <c r="H625" t="s">
        <v>251</v>
      </c>
      <c r="I625" t="s">
        <v>252</v>
      </c>
      <c r="J625" t="s">
        <v>42</v>
      </c>
      <c r="K625" t="s">
        <v>253</v>
      </c>
      <c r="L625" t="s">
        <v>59</v>
      </c>
      <c r="M625" t="s">
        <v>45</v>
      </c>
      <c r="N625" t="s">
        <v>46</v>
      </c>
      <c r="O625">
        <v>105</v>
      </c>
      <c r="P625">
        <v>35.652173913043498</v>
      </c>
      <c r="Q625">
        <v>629.20000000000005</v>
      </c>
      <c r="R625">
        <v>1</v>
      </c>
      <c r="S625">
        <v>58.2920792079208</v>
      </c>
      <c r="T625">
        <f t="shared" si="9"/>
        <v>0.58292079207920799</v>
      </c>
      <c r="U625" t="s">
        <v>221</v>
      </c>
      <c r="V625" t="s">
        <v>48</v>
      </c>
    </row>
    <row r="626" spans="1:22" x14ac:dyDescent="0.25">
      <c r="A626">
        <v>625</v>
      </c>
      <c r="B626" t="s">
        <v>217</v>
      </c>
      <c r="C626" s="2">
        <v>43377</v>
      </c>
      <c r="D626" t="s">
        <v>37</v>
      </c>
      <c r="F626" t="s">
        <v>39</v>
      </c>
      <c r="G626">
        <v>18</v>
      </c>
      <c r="H626" t="s">
        <v>254</v>
      </c>
      <c r="I626" t="s">
        <v>255</v>
      </c>
      <c r="J626" t="s">
        <v>42</v>
      </c>
      <c r="K626" t="s">
        <v>256</v>
      </c>
      <c r="L626" t="s">
        <v>177</v>
      </c>
      <c r="M626" t="s">
        <v>101</v>
      </c>
      <c r="N626" t="s">
        <v>257</v>
      </c>
      <c r="O626">
        <v>120</v>
      </c>
      <c r="P626">
        <v>34.090909090909101</v>
      </c>
      <c r="Q626">
        <v>496.7</v>
      </c>
      <c r="R626">
        <v>1</v>
      </c>
      <c r="S626">
        <v>55.749128919860603</v>
      </c>
      <c r="T626">
        <f t="shared" si="9"/>
        <v>0.55749128919860602</v>
      </c>
      <c r="U626" t="s">
        <v>221</v>
      </c>
      <c r="V626" t="s">
        <v>48</v>
      </c>
    </row>
    <row r="627" spans="1:22" x14ac:dyDescent="0.25">
      <c r="A627">
        <v>626</v>
      </c>
      <c r="B627" t="s">
        <v>217</v>
      </c>
      <c r="C627" s="2">
        <v>43377</v>
      </c>
      <c r="D627" t="s">
        <v>37</v>
      </c>
      <c r="F627" t="s">
        <v>39</v>
      </c>
      <c r="G627">
        <v>18</v>
      </c>
      <c r="H627" t="s">
        <v>258</v>
      </c>
      <c r="I627" t="s">
        <v>259</v>
      </c>
      <c r="J627" t="s">
        <v>42</v>
      </c>
      <c r="K627" t="s">
        <v>260</v>
      </c>
      <c r="L627" t="s">
        <v>261</v>
      </c>
      <c r="M627" t="s">
        <v>45</v>
      </c>
      <c r="N627" t="s">
        <v>257</v>
      </c>
      <c r="O627">
        <v>48</v>
      </c>
      <c r="P627">
        <v>65.714285714285694</v>
      </c>
      <c r="Q627">
        <v>687.7</v>
      </c>
      <c r="R627">
        <v>0</v>
      </c>
      <c r="S627">
        <v>51.053484602917301</v>
      </c>
      <c r="T627">
        <f t="shared" si="9"/>
        <v>0.51053484602917298</v>
      </c>
      <c r="U627" t="s">
        <v>221</v>
      </c>
      <c r="V627" t="s">
        <v>48</v>
      </c>
    </row>
    <row r="628" spans="1:22" x14ac:dyDescent="0.25">
      <c r="A628">
        <v>627</v>
      </c>
      <c r="B628" t="s">
        <v>217</v>
      </c>
      <c r="C628" s="2">
        <v>43377</v>
      </c>
      <c r="D628" t="s">
        <v>37</v>
      </c>
      <c r="F628" t="s">
        <v>39</v>
      </c>
      <c r="G628">
        <v>18</v>
      </c>
      <c r="H628" t="s">
        <v>262</v>
      </c>
      <c r="I628" t="s">
        <v>263</v>
      </c>
      <c r="J628" t="s">
        <v>42</v>
      </c>
      <c r="K628" t="s">
        <v>264</v>
      </c>
      <c r="L628" t="s">
        <v>111</v>
      </c>
      <c r="M628" t="s">
        <v>101</v>
      </c>
      <c r="N628" t="s">
        <v>257</v>
      </c>
      <c r="O628">
        <v>36</v>
      </c>
      <c r="P628">
        <v>50</v>
      </c>
      <c r="Q628">
        <v>515.70000000000005</v>
      </c>
      <c r="R628">
        <v>0</v>
      </c>
      <c r="S628">
        <v>54.054054054054099</v>
      </c>
      <c r="T628">
        <f t="shared" si="9"/>
        <v>0.54054054054054101</v>
      </c>
      <c r="U628" t="s">
        <v>221</v>
      </c>
      <c r="V628" t="s">
        <v>48</v>
      </c>
    </row>
    <row r="629" spans="1:22" x14ac:dyDescent="0.25">
      <c r="A629">
        <v>628</v>
      </c>
      <c r="B629" t="s">
        <v>217</v>
      </c>
      <c r="C629" s="2">
        <v>43377</v>
      </c>
      <c r="D629" t="s">
        <v>37</v>
      </c>
      <c r="F629" t="s">
        <v>39</v>
      </c>
      <c r="G629">
        <v>18</v>
      </c>
      <c r="H629" t="s">
        <v>265</v>
      </c>
      <c r="I629" t="s">
        <v>266</v>
      </c>
      <c r="J629" t="s">
        <v>42</v>
      </c>
      <c r="K629" t="s">
        <v>267</v>
      </c>
      <c r="L629" t="s">
        <v>268</v>
      </c>
      <c r="M629" t="s">
        <v>45</v>
      </c>
      <c r="N629" t="s">
        <v>257</v>
      </c>
      <c r="O629">
        <v>74</v>
      </c>
      <c r="P629">
        <v>37.837837837837803</v>
      </c>
      <c r="Q629">
        <v>513.9</v>
      </c>
      <c r="R629">
        <v>0</v>
      </c>
      <c r="S629">
        <v>65.989847715736005</v>
      </c>
      <c r="T629">
        <f t="shared" si="9"/>
        <v>0.65989847715736005</v>
      </c>
      <c r="U629" t="s">
        <v>221</v>
      </c>
      <c r="V629" t="s">
        <v>48</v>
      </c>
    </row>
    <row r="630" spans="1:22" x14ac:dyDescent="0.25">
      <c r="A630">
        <v>629</v>
      </c>
      <c r="B630" t="s">
        <v>217</v>
      </c>
      <c r="C630" s="2">
        <v>43377</v>
      </c>
      <c r="D630" t="s">
        <v>37</v>
      </c>
      <c r="F630" t="s">
        <v>39</v>
      </c>
      <c r="G630">
        <v>18</v>
      </c>
      <c r="H630" t="s">
        <v>269</v>
      </c>
      <c r="I630" t="s">
        <v>270</v>
      </c>
      <c r="J630" t="s">
        <v>42</v>
      </c>
      <c r="K630" t="s">
        <v>271</v>
      </c>
      <c r="L630" t="s">
        <v>111</v>
      </c>
      <c r="M630" t="s">
        <v>45</v>
      </c>
      <c r="N630" t="s">
        <v>257</v>
      </c>
      <c r="O630">
        <v>120</v>
      </c>
      <c r="P630">
        <v>47.9166666666667</v>
      </c>
      <c r="Q630">
        <v>337.8</v>
      </c>
      <c r="R630">
        <v>1</v>
      </c>
      <c r="S630">
        <v>84.836471754212099</v>
      </c>
      <c r="T630">
        <f t="shared" si="9"/>
        <v>0.84836471754212095</v>
      </c>
      <c r="U630" t="s">
        <v>221</v>
      </c>
      <c r="V630" t="s">
        <v>48</v>
      </c>
    </row>
    <row r="631" spans="1:22" x14ac:dyDescent="0.25">
      <c r="A631">
        <v>630</v>
      </c>
      <c r="B631" t="s">
        <v>217</v>
      </c>
      <c r="C631" s="2">
        <v>43377</v>
      </c>
      <c r="D631" t="s">
        <v>37</v>
      </c>
      <c r="F631" t="s">
        <v>39</v>
      </c>
      <c r="G631">
        <v>18</v>
      </c>
      <c r="H631" t="s">
        <v>272</v>
      </c>
      <c r="I631" t="s">
        <v>273</v>
      </c>
      <c r="J631" t="s">
        <v>42</v>
      </c>
      <c r="K631" t="s">
        <v>274</v>
      </c>
      <c r="L631" t="s">
        <v>275</v>
      </c>
      <c r="M631" t="s">
        <v>101</v>
      </c>
      <c r="N631" t="s">
        <v>257</v>
      </c>
      <c r="O631">
        <v>68</v>
      </c>
      <c r="P631">
        <v>65.6488549618321</v>
      </c>
      <c r="Q631">
        <v>693.7</v>
      </c>
      <c r="R631">
        <v>0</v>
      </c>
      <c r="S631">
        <v>64.643150123051697</v>
      </c>
      <c r="T631">
        <f t="shared" si="9"/>
        <v>0.64643150123051696</v>
      </c>
      <c r="U631" t="s">
        <v>221</v>
      </c>
      <c r="V631" t="s">
        <v>48</v>
      </c>
    </row>
    <row r="632" spans="1:22" x14ac:dyDescent="0.25">
      <c r="A632">
        <v>631</v>
      </c>
      <c r="B632" t="s">
        <v>217</v>
      </c>
      <c r="C632" s="2">
        <v>43377</v>
      </c>
      <c r="D632" t="s">
        <v>37</v>
      </c>
      <c r="F632" t="s">
        <v>39</v>
      </c>
      <c r="G632">
        <v>18</v>
      </c>
      <c r="H632" t="s">
        <v>276</v>
      </c>
      <c r="I632" t="s">
        <v>277</v>
      </c>
      <c r="J632" t="s">
        <v>42</v>
      </c>
      <c r="K632" t="s">
        <v>278</v>
      </c>
      <c r="L632" t="s">
        <v>177</v>
      </c>
      <c r="M632" t="s">
        <v>101</v>
      </c>
      <c r="N632" t="s">
        <v>257</v>
      </c>
      <c r="O632">
        <v>116</v>
      </c>
      <c r="P632">
        <v>56.976744186046503</v>
      </c>
      <c r="Q632">
        <v>704.4</v>
      </c>
      <c r="R632">
        <v>0</v>
      </c>
      <c r="S632">
        <v>54.597701149425298</v>
      </c>
      <c r="T632">
        <f t="shared" si="9"/>
        <v>0.54597701149425293</v>
      </c>
      <c r="U632" t="s">
        <v>221</v>
      </c>
      <c r="V632" t="s">
        <v>48</v>
      </c>
    </row>
    <row r="633" spans="1:22" x14ac:dyDescent="0.25">
      <c r="A633">
        <v>632</v>
      </c>
      <c r="B633" t="s">
        <v>217</v>
      </c>
      <c r="C633" s="2">
        <v>43377</v>
      </c>
      <c r="D633" t="s">
        <v>37</v>
      </c>
      <c r="F633" t="s">
        <v>39</v>
      </c>
      <c r="G633">
        <v>18</v>
      </c>
      <c r="H633" t="s">
        <v>279</v>
      </c>
      <c r="I633" t="s">
        <v>280</v>
      </c>
      <c r="J633" t="s">
        <v>42</v>
      </c>
      <c r="K633" t="s">
        <v>281</v>
      </c>
      <c r="L633" t="s">
        <v>177</v>
      </c>
      <c r="M633" t="s">
        <v>45</v>
      </c>
      <c r="N633" t="s">
        <v>257</v>
      </c>
      <c r="O633">
        <v>33</v>
      </c>
      <c r="P633">
        <v>44.1860465116279</v>
      </c>
      <c r="Q633">
        <v>489.7</v>
      </c>
      <c r="R633">
        <v>1</v>
      </c>
      <c r="S633">
        <v>56.696428571428598</v>
      </c>
      <c r="T633">
        <f t="shared" si="9"/>
        <v>0.56696428571428603</v>
      </c>
      <c r="U633" t="s">
        <v>221</v>
      </c>
      <c r="V633" t="s">
        <v>48</v>
      </c>
    </row>
    <row r="634" spans="1:22" x14ac:dyDescent="0.25">
      <c r="A634">
        <v>633</v>
      </c>
      <c r="B634" t="s">
        <v>217</v>
      </c>
      <c r="C634" s="2">
        <v>43377</v>
      </c>
      <c r="D634" t="s">
        <v>37</v>
      </c>
      <c r="F634" t="s">
        <v>39</v>
      </c>
      <c r="G634">
        <v>18</v>
      </c>
      <c r="H634" t="s">
        <v>282</v>
      </c>
      <c r="I634" t="s">
        <v>283</v>
      </c>
      <c r="J634" t="s">
        <v>42</v>
      </c>
      <c r="K634" t="s">
        <v>284</v>
      </c>
      <c r="L634" t="s">
        <v>285</v>
      </c>
      <c r="M634" t="s">
        <v>101</v>
      </c>
      <c r="N634" t="s">
        <v>257</v>
      </c>
      <c r="O634">
        <v>116</v>
      </c>
      <c r="P634">
        <v>58.139534883720899</v>
      </c>
      <c r="Q634">
        <v>489.9</v>
      </c>
      <c r="R634">
        <v>1</v>
      </c>
      <c r="S634">
        <v>56.538461538461497</v>
      </c>
      <c r="T634">
        <f t="shared" si="9"/>
        <v>0.56538461538461493</v>
      </c>
      <c r="U634" t="s">
        <v>221</v>
      </c>
      <c r="V634" t="s">
        <v>48</v>
      </c>
    </row>
    <row r="635" spans="1:22" x14ac:dyDescent="0.25">
      <c r="A635">
        <v>634</v>
      </c>
      <c r="B635" t="s">
        <v>217</v>
      </c>
      <c r="C635" s="2">
        <v>43377</v>
      </c>
      <c r="D635" t="s">
        <v>37</v>
      </c>
      <c r="F635" t="s">
        <v>39</v>
      </c>
      <c r="G635">
        <v>18</v>
      </c>
      <c r="H635" t="s">
        <v>286</v>
      </c>
      <c r="I635" t="s">
        <v>287</v>
      </c>
      <c r="J635" t="s">
        <v>42</v>
      </c>
      <c r="K635" t="s">
        <v>288</v>
      </c>
      <c r="L635" t="s">
        <v>289</v>
      </c>
      <c r="M635" t="s">
        <v>45</v>
      </c>
      <c r="N635" t="s">
        <v>257</v>
      </c>
      <c r="O635">
        <v>110</v>
      </c>
      <c r="P635">
        <v>39.053254437869803</v>
      </c>
      <c r="Q635">
        <v>675.9</v>
      </c>
      <c r="R635">
        <v>0</v>
      </c>
      <c r="S635">
        <v>58.171206225680898</v>
      </c>
      <c r="T635">
        <f t="shared" si="9"/>
        <v>0.58171206225680894</v>
      </c>
      <c r="U635" t="s">
        <v>221</v>
      </c>
      <c r="V635" t="s">
        <v>48</v>
      </c>
    </row>
    <row r="636" spans="1:22" x14ac:dyDescent="0.25">
      <c r="A636">
        <v>635</v>
      </c>
      <c r="B636" t="s">
        <v>217</v>
      </c>
      <c r="C636" s="2">
        <v>43377</v>
      </c>
      <c r="D636" t="s">
        <v>37</v>
      </c>
      <c r="F636" t="s">
        <v>39</v>
      </c>
      <c r="G636">
        <v>18</v>
      </c>
      <c r="H636" t="s">
        <v>290</v>
      </c>
      <c r="I636" t="s">
        <v>291</v>
      </c>
      <c r="J636" t="s">
        <v>42</v>
      </c>
      <c r="K636" t="s">
        <v>292</v>
      </c>
      <c r="L636" t="s">
        <v>293</v>
      </c>
      <c r="M636" t="s">
        <v>101</v>
      </c>
      <c r="N636" t="s">
        <v>294</v>
      </c>
      <c r="O636">
        <v>67</v>
      </c>
      <c r="P636">
        <v>27.3684210526316</v>
      </c>
      <c r="Q636">
        <v>755.9</v>
      </c>
      <c r="R636">
        <v>0</v>
      </c>
      <c r="S636">
        <v>62.277091906721502</v>
      </c>
      <c r="T636">
        <f t="shared" si="9"/>
        <v>0.62277091906721505</v>
      </c>
      <c r="U636" t="s">
        <v>221</v>
      </c>
      <c r="V636" t="s">
        <v>295</v>
      </c>
    </row>
    <row r="637" spans="1:22" x14ac:dyDescent="0.25">
      <c r="A637">
        <v>636</v>
      </c>
      <c r="B637" t="s">
        <v>217</v>
      </c>
      <c r="C637" s="2">
        <v>43377</v>
      </c>
      <c r="D637" t="s">
        <v>37</v>
      </c>
      <c r="F637" t="s">
        <v>39</v>
      </c>
      <c r="G637">
        <v>18</v>
      </c>
      <c r="H637" t="s">
        <v>296</v>
      </c>
      <c r="I637" t="s">
        <v>297</v>
      </c>
      <c r="J637" t="s">
        <v>42</v>
      </c>
      <c r="K637" t="s">
        <v>298</v>
      </c>
      <c r="L637" t="s">
        <v>293</v>
      </c>
      <c r="M637" t="s">
        <v>101</v>
      </c>
      <c r="N637" t="s">
        <v>294</v>
      </c>
      <c r="O637">
        <v>13</v>
      </c>
      <c r="P637">
        <v>73.796791443850296</v>
      </c>
      <c r="Q637">
        <v>710.6</v>
      </c>
      <c r="R637">
        <v>0</v>
      </c>
      <c r="S637">
        <v>48.374512353706102</v>
      </c>
      <c r="T637">
        <f t="shared" si="9"/>
        <v>0.48374512353706101</v>
      </c>
      <c r="U637" t="s">
        <v>221</v>
      </c>
      <c r="V637" t="s">
        <v>295</v>
      </c>
    </row>
    <row r="638" spans="1:22" x14ac:dyDescent="0.25">
      <c r="A638">
        <v>637</v>
      </c>
      <c r="B638" t="s">
        <v>217</v>
      </c>
      <c r="C638" s="2">
        <v>43377</v>
      </c>
      <c r="D638" t="s">
        <v>37</v>
      </c>
      <c r="F638" t="s">
        <v>39</v>
      </c>
      <c r="G638">
        <v>18</v>
      </c>
      <c r="H638" t="s">
        <v>299</v>
      </c>
      <c r="I638" t="s">
        <v>300</v>
      </c>
      <c r="J638" t="s">
        <v>42</v>
      </c>
      <c r="K638" t="s">
        <v>301</v>
      </c>
      <c r="L638" t="s">
        <v>302</v>
      </c>
      <c r="M638" t="s">
        <v>45</v>
      </c>
      <c r="N638" t="s">
        <v>294</v>
      </c>
      <c r="O638">
        <v>51</v>
      </c>
      <c r="P638">
        <v>12.5</v>
      </c>
      <c r="Q638">
        <v>534.5</v>
      </c>
      <c r="R638">
        <v>0</v>
      </c>
      <c r="S638">
        <v>72.377622377622401</v>
      </c>
      <c r="T638">
        <f t="shared" si="9"/>
        <v>0.72377622377622397</v>
      </c>
      <c r="U638" t="s">
        <v>221</v>
      </c>
      <c r="V638" t="s">
        <v>295</v>
      </c>
    </row>
    <row r="639" spans="1:22" x14ac:dyDescent="0.25">
      <c r="A639">
        <v>638</v>
      </c>
      <c r="B639" t="s">
        <v>217</v>
      </c>
      <c r="C639" s="2">
        <v>43377</v>
      </c>
      <c r="D639" t="s">
        <v>37</v>
      </c>
      <c r="F639" t="s">
        <v>39</v>
      </c>
      <c r="G639">
        <v>18</v>
      </c>
      <c r="H639" t="s">
        <v>303</v>
      </c>
      <c r="I639" t="s">
        <v>304</v>
      </c>
      <c r="J639" t="s">
        <v>42</v>
      </c>
      <c r="K639" t="s">
        <v>305</v>
      </c>
      <c r="L639" t="s">
        <v>250</v>
      </c>
      <c r="M639" t="s">
        <v>101</v>
      </c>
      <c r="N639" t="s">
        <v>294</v>
      </c>
      <c r="O639">
        <v>46</v>
      </c>
      <c r="P639">
        <v>41.379310344827601</v>
      </c>
      <c r="Q639">
        <v>657.1</v>
      </c>
      <c r="R639">
        <v>0</v>
      </c>
      <c r="S639">
        <v>55.795677799607098</v>
      </c>
      <c r="T639">
        <f t="shared" si="9"/>
        <v>0.55795677799607102</v>
      </c>
      <c r="U639" t="s">
        <v>221</v>
      </c>
      <c r="V639" t="s">
        <v>295</v>
      </c>
    </row>
    <row r="640" spans="1:22" x14ac:dyDescent="0.25">
      <c r="A640">
        <v>639</v>
      </c>
      <c r="B640" t="s">
        <v>217</v>
      </c>
      <c r="C640" s="2">
        <v>43377</v>
      </c>
      <c r="D640" t="s">
        <v>37</v>
      </c>
      <c r="F640" t="s">
        <v>39</v>
      </c>
      <c r="G640">
        <v>18</v>
      </c>
      <c r="H640" t="s">
        <v>306</v>
      </c>
      <c r="I640" t="s">
        <v>307</v>
      </c>
      <c r="J640" t="s">
        <v>42</v>
      </c>
      <c r="K640" t="s">
        <v>308</v>
      </c>
      <c r="L640" t="s">
        <v>250</v>
      </c>
      <c r="M640" t="s">
        <v>101</v>
      </c>
      <c r="N640" t="s">
        <v>294</v>
      </c>
      <c r="O640">
        <v>83</v>
      </c>
      <c r="P640">
        <v>42.857142857142797</v>
      </c>
      <c r="Q640">
        <v>526.1</v>
      </c>
      <c r="R640">
        <v>1</v>
      </c>
      <c r="S640">
        <v>65.5601659751037</v>
      </c>
      <c r="T640">
        <f t="shared" si="9"/>
        <v>0.65560165975103701</v>
      </c>
      <c r="U640" t="s">
        <v>221</v>
      </c>
      <c r="V640" t="s">
        <v>295</v>
      </c>
    </row>
    <row r="641" spans="1:22" x14ac:dyDescent="0.25">
      <c r="A641">
        <v>640</v>
      </c>
      <c r="B641" t="s">
        <v>217</v>
      </c>
      <c r="C641" s="2">
        <v>43377</v>
      </c>
      <c r="D641" t="s">
        <v>37</v>
      </c>
      <c r="F641" t="s">
        <v>39</v>
      </c>
      <c r="G641">
        <v>18</v>
      </c>
      <c r="H641" t="s">
        <v>309</v>
      </c>
      <c r="I641" t="s">
        <v>310</v>
      </c>
      <c r="J641" t="s">
        <v>42</v>
      </c>
      <c r="K641" t="s">
        <v>311</v>
      </c>
      <c r="L641" t="s">
        <v>250</v>
      </c>
      <c r="M641" t="s">
        <v>101</v>
      </c>
      <c r="N641" t="s">
        <v>294</v>
      </c>
      <c r="O641">
        <v>80</v>
      </c>
      <c r="P641">
        <v>56.862745098039198</v>
      </c>
      <c r="Q641">
        <v>768.8</v>
      </c>
      <c r="R641">
        <v>0</v>
      </c>
      <c r="S641">
        <v>52.074235807860298</v>
      </c>
      <c r="T641">
        <f t="shared" si="9"/>
        <v>0.52074235807860303</v>
      </c>
      <c r="U641" t="s">
        <v>221</v>
      </c>
      <c r="V641" t="s">
        <v>295</v>
      </c>
    </row>
    <row r="642" spans="1:22" x14ac:dyDescent="0.25">
      <c r="A642">
        <v>641</v>
      </c>
      <c r="B642" t="s">
        <v>217</v>
      </c>
      <c r="C642" s="2">
        <v>43377</v>
      </c>
      <c r="D642" t="s">
        <v>37</v>
      </c>
      <c r="F642" t="s">
        <v>39</v>
      </c>
      <c r="G642">
        <v>18</v>
      </c>
      <c r="H642" t="s">
        <v>312</v>
      </c>
      <c r="I642" t="s">
        <v>313</v>
      </c>
      <c r="J642" t="s">
        <v>42</v>
      </c>
      <c r="K642" t="s">
        <v>314</v>
      </c>
      <c r="L642" t="s">
        <v>250</v>
      </c>
      <c r="M642" t="s">
        <v>101</v>
      </c>
      <c r="N642" t="s">
        <v>294</v>
      </c>
      <c r="O642">
        <v>120</v>
      </c>
      <c r="P642">
        <v>86.419753086419703</v>
      </c>
      <c r="Q642">
        <v>801</v>
      </c>
      <c r="R642">
        <v>1</v>
      </c>
      <c r="S642">
        <v>50.959860383944203</v>
      </c>
      <c r="T642">
        <f t="shared" si="9"/>
        <v>0.509598603839442</v>
      </c>
      <c r="U642" t="s">
        <v>221</v>
      </c>
      <c r="V642" t="s">
        <v>295</v>
      </c>
    </row>
    <row r="643" spans="1:22" x14ac:dyDescent="0.25">
      <c r="A643">
        <v>642</v>
      </c>
      <c r="B643" t="s">
        <v>217</v>
      </c>
      <c r="C643" s="2">
        <v>43377</v>
      </c>
      <c r="D643" t="s">
        <v>37</v>
      </c>
      <c r="F643" t="s">
        <v>39</v>
      </c>
      <c r="G643">
        <v>18</v>
      </c>
      <c r="H643" t="s">
        <v>315</v>
      </c>
      <c r="I643" t="s">
        <v>316</v>
      </c>
      <c r="J643" t="s">
        <v>42</v>
      </c>
      <c r="K643" t="s">
        <v>317</v>
      </c>
      <c r="L643" t="s">
        <v>185</v>
      </c>
      <c r="M643" t="s">
        <v>101</v>
      </c>
      <c r="N643" t="s">
        <v>294</v>
      </c>
      <c r="O643">
        <v>22</v>
      </c>
      <c r="P643">
        <v>35.714285714285701</v>
      </c>
      <c r="Q643">
        <v>519.1</v>
      </c>
      <c r="R643">
        <v>0</v>
      </c>
      <c r="S643">
        <v>68.989547038327501</v>
      </c>
      <c r="T643">
        <f t="shared" ref="T643:T706" si="10">S643/100</f>
        <v>0.68989547038327503</v>
      </c>
      <c r="U643" t="s">
        <v>221</v>
      </c>
      <c r="V643" t="s">
        <v>295</v>
      </c>
    </row>
    <row r="644" spans="1:22" x14ac:dyDescent="0.25">
      <c r="A644">
        <v>643</v>
      </c>
      <c r="B644" t="s">
        <v>217</v>
      </c>
      <c r="C644" s="2">
        <v>43377</v>
      </c>
      <c r="D644" t="s">
        <v>37</v>
      </c>
      <c r="F644" t="s">
        <v>39</v>
      </c>
      <c r="G644">
        <v>18</v>
      </c>
      <c r="H644" t="s">
        <v>318</v>
      </c>
      <c r="I644" t="s">
        <v>319</v>
      </c>
      <c r="J644" t="s">
        <v>109</v>
      </c>
      <c r="K644" t="s">
        <v>320</v>
      </c>
      <c r="L644" t="s">
        <v>185</v>
      </c>
      <c r="M644" t="s">
        <v>101</v>
      </c>
      <c r="N644" t="s">
        <v>294</v>
      </c>
      <c r="O644">
        <v>40</v>
      </c>
      <c r="P644">
        <v>20.9677419354839</v>
      </c>
      <c r="Q644">
        <v>579.29999999999995</v>
      </c>
      <c r="R644">
        <v>0</v>
      </c>
      <c r="S644">
        <v>52.161383285302598</v>
      </c>
      <c r="T644">
        <f t="shared" si="10"/>
        <v>0.52161383285302598</v>
      </c>
      <c r="U644" t="s">
        <v>221</v>
      </c>
      <c r="V644" t="s">
        <v>295</v>
      </c>
    </row>
    <row r="645" spans="1:22" x14ac:dyDescent="0.25">
      <c r="A645">
        <v>644</v>
      </c>
      <c r="B645" t="s">
        <v>217</v>
      </c>
      <c r="C645" s="2">
        <v>43387</v>
      </c>
      <c r="D645" t="s">
        <v>37</v>
      </c>
      <c r="F645" t="s">
        <v>39</v>
      </c>
      <c r="G645">
        <v>18</v>
      </c>
      <c r="H645" t="s">
        <v>321</v>
      </c>
      <c r="I645" t="s">
        <v>322</v>
      </c>
      <c r="J645" t="s">
        <v>42</v>
      </c>
      <c r="K645" t="s">
        <v>323</v>
      </c>
      <c r="L645" t="s">
        <v>185</v>
      </c>
      <c r="M645" t="s">
        <v>101</v>
      </c>
      <c r="N645" t="s">
        <v>294</v>
      </c>
      <c r="O645">
        <v>12</v>
      </c>
      <c r="P645">
        <v>4.5454545454545503</v>
      </c>
      <c r="Q645">
        <v>485.6</v>
      </c>
      <c r="R645">
        <v>0</v>
      </c>
      <c r="S645">
        <v>81.441048034934497</v>
      </c>
      <c r="T645">
        <f t="shared" si="10"/>
        <v>0.81441048034934493</v>
      </c>
      <c r="U645" t="s">
        <v>221</v>
      </c>
      <c r="V645" t="s">
        <v>295</v>
      </c>
    </row>
    <row r="646" spans="1:22" x14ac:dyDescent="0.25">
      <c r="A646">
        <v>645</v>
      </c>
      <c r="B646" t="s">
        <v>217</v>
      </c>
      <c r="C646" s="2">
        <v>43387</v>
      </c>
      <c r="D646" t="s">
        <v>37</v>
      </c>
      <c r="F646" t="s">
        <v>39</v>
      </c>
      <c r="G646">
        <v>19</v>
      </c>
      <c r="H646" t="s">
        <v>218</v>
      </c>
      <c r="I646" t="s">
        <v>219</v>
      </c>
      <c r="J646" t="s">
        <v>42</v>
      </c>
      <c r="K646" t="s">
        <v>220</v>
      </c>
      <c r="L646" t="s">
        <v>44</v>
      </c>
      <c r="M646" t="s">
        <v>45</v>
      </c>
      <c r="N646" t="s">
        <v>46</v>
      </c>
      <c r="O646">
        <v>17</v>
      </c>
      <c r="P646">
        <v>12.1951219512195</v>
      </c>
      <c r="Q646">
        <v>613.70000000000005</v>
      </c>
      <c r="R646">
        <v>0</v>
      </c>
      <c r="S646">
        <v>48.9690721649485</v>
      </c>
      <c r="T646">
        <f t="shared" si="10"/>
        <v>0.48969072164948502</v>
      </c>
      <c r="U646" t="s">
        <v>221</v>
      </c>
      <c r="V646" t="s">
        <v>48</v>
      </c>
    </row>
    <row r="647" spans="1:22" x14ac:dyDescent="0.25">
      <c r="A647">
        <v>646</v>
      </c>
      <c r="B647" t="s">
        <v>217</v>
      </c>
      <c r="C647" s="2">
        <v>43387</v>
      </c>
      <c r="D647" t="s">
        <v>37</v>
      </c>
      <c r="F647" t="s">
        <v>39</v>
      </c>
      <c r="G647">
        <v>19</v>
      </c>
      <c r="H647" t="s">
        <v>222</v>
      </c>
      <c r="I647" t="s">
        <v>223</v>
      </c>
      <c r="J647" t="s">
        <v>42</v>
      </c>
      <c r="K647" t="s">
        <v>224</v>
      </c>
      <c r="L647" t="s">
        <v>225</v>
      </c>
      <c r="M647" t="s">
        <v>45</v>
      </c>
      <c r="N647" t="s">
        <v>46</v>
      </c>
      <c r="O647">
        <v>14</v>
      </c>
      <c r="P647">
        <v>54.838709677419402</v>
      </c>
      <c r="Q647">
        <v>523.29999999999995</v>
      </c>
      <c r="R647">
        <v>0</v>
      </c>
      <c r="S647">
        <v>54.137115839243499</v>
      </c>
      <c r="T647">
        <f t="shared" si="10"/>
        <v>0.54137115839243499</v>
      </c>
      <c r="U647" t="s">
        <v>221</v>
      </c>
      <c r="V647" t="s">
        <v>48</v>
      </c>
    </row>
    <row r="648" spans="1:22" x14ac:dyDescent="0.25">
      <c r="A648">
        <v>647</v>
      </c>
      <c r="B648" t="s">
        <v>217</v>
      </c>
      <c r="C648" s="2">
        <v>43387</v>
      </c>
      <c r="D648" t="s">
        <v>37</v>
      </c>
      <c r="F648" t="s">
        <v>39</v>
      </c>
      <c r="G648">
        <v>19</v>
      </c>
      <c r="H648" t="s">
        <v>226</v>
      </c>
      <c r="I648" t="s">
        <v>227</v>
      </c>
      <c r="J648" t="s">
        <v>42</v>
      </c>
      <c r="K648" t="s">
        <v>228</v>
      </c>
      <c r="L648" t="s">
        <v>225</v>
      </c>
      <c r="M648" t="s">
        <v>45</v>
      </c>
      <c r="N648" t="s">
        <v>46</v>
      </c>
      <c r="O648">
        <v>41</v>
      </c>
      <c r="P648">
        <v>53.3333333333333</v>
      </c>
      <c r="Q648">
        <v>549.6</v>
      </c>
      <c r="R648">
        <v>0</v>
      </c>
      <c r="S648">
        <v>49.606299212598401</v>
      </c>
      <c r="T648">
        <f t="shared" si="10"/>
        <v>0.49606299212598404</v>
      </c>
      <c r="U648" t="s">
        <v>221</v>
      </c>
      <c r="V648" t="s">
        <v>48</v>
      </c>
    </row>
    <row r="649" spans="1:22" x14ac:dyDescent="0.25">
      <c r="A649">
        <v>648</v>
      </c>
      <c r="B649" t="s">
        <v>217</v>
      </c>
      <c r="C649" s="2">
        <v>43387</v>
      </c>
      <c r="D649" t="s">
        <v>37</v>
      </c>
      <c r="F649" t="s">
        <v>39</v>
      </c>
      <c r="G649">
        <v>19</v>
      </c>
      <c r="H649" t="s">
        <v>229</v>
      </c>
      <c r="I649" t="s">
        <v>230</v>
      </c>
      <c r="J649" t="s">
        <v>42</v>
      </c>
      <c r="K649" t="s">
        <v>231</v>
      </c>
      <c r="L649" t="s">
        <v>232</v>
      </c>
      <c r="M649" t="s">
        <v>45</v>
      </c>
      <c r="N649" t="s">
        <v>46</v>
      </c>
      <c r="O649">
        <v>52</v>
      </c>
      <c r="P649">
        <v>21.875</v>
      </c>
      <c r="Q649">
        <v>482.8</v>
      </c>
      <c r="R649">
        <v>0</v>
      </c>
      <c r="S649">
        <v>60.869565217391298</v>
      </c>
      <c r="T649">
        <f t="shared" si="10"/>
        <v>0.60869565217391297</v>
      </c>
      <c r="U649" t="s">
        <v>221</v>
      </c>
      <c r="V649" t="s">
        <v>48</v>
      </c>
    </row>
    <row r="650" spans="1:22" x14ac:dyDescent="0.25">
      <c r="A650">
        <v>649</v>
      </c>
      <c r="B650" t="s">
        <v>217</v>
      </c>
      <c r="C650" s="2">
        <v>43387</v>
      </c>
      <c r="D650" t="s">
        <v>37</v>
      </c>
      <c r="F650" t="s">
        <v>39</v>
      </c>
      <c r="G650">
        <v>19</v>
      </c>
      <c r="H650" t="s">
        <v>233</v>
      </c>
      <c r="I650" t="s">
        <v>234</v>
      </c>
      <c r="J650" t="s">
        <v>42</v>
      </c>
      <c r="K650" t="s">
        <v>235</v>
      </c>
      <c r="L650" t="s">
        <v>232</v>
      </c>
      <c r="M650" t="s">
        <v>45</v>
      </c>
      <c r="N650" t="s">
        <v>46</v>
      </c>
      <c r="O650">
        <v>69</v>
      </c>
      <c r="P650">
        <v>37.209302325581397</v>
      </c>
      <c r="Q650">
        <v>474.2</v>
      </c>
      <c r="R650">
        <v>0</v>
      </c>
      <c r="S650">
        <v>52.473118279569903</v>
      </c>
      <c r="T650">
        <f t="shared" si="10"/>
        <v>0.52473118279569908</v>
      </c>
      <c r="U650" t="s">
        <v>221</v>
      </c>
      <c r="V650" t="s">
        <v>48</v>
      </c>
    </row>
    <row r="651" spans="1:22" x14ac:dyDescent="0.25">
      <c r="A651">
        <v>650</v>
      </c>
      <c r="B651" t="s">
        <v>217</v>
      </c>
      <c r="C651" s="2">
        <v>43387</v>
      </c>
      <c r="D651" t="s">
        <v>37</v>
      </c>
      <c r="F651" t="s">
        <v>39</v>
      </c>
      <c r="G651">
        <v>19</v>
      </c>
      <c r="H651" t="s">
        <v>236</v>
      </c>
      <c r="I651" t="s">
        <v>237</v>
      </c>
      <c r="J651" t="s">
        <v>42</v>
      </c>
      <c r="K651" t="s">
        <v>238</v>
      </c>
      <c r="L651" t="s">
        <v>239</v>
      </c>
      <c r="M651" t="s">
        <v>45</v>
      </c>
      <c r="N651" t="s">
        <v>46</v>
      </c>
      <c r="O651">
        <v>17</v>
      </c>
      <c r="P651">
        <v>15.384615384615399</v>
      </c>
      <c r="Q651">
        <v>499.8</v>
      </c>
      <c r="R651">
        <v>0</v>
      </c>
      <c r="S651">
        <v>49.769585253456199</v>
      </c>
      <c r="T651">
        <f t="shared" si="10"/>
        <v>0.497695852534562</v>
      </c>
      <c r="U651" t="s">
        <v>221</v>
      </c>
      <c r="V651" t="s">
        <v>48</v>
      </c>
    </row>
    <row r="652" spans="1:22" x14ac:dyDescent="0.25">
      <c r="A652">
        <v>651</v>
      </c>
      <c r="B652" t="s">
        <v>217</v>
      </c>
      <c r="C652" s="2">
        <v>43387</v>
      </c>
      <c r="D652" t="s">
        <v>37</v>
      </c>
      <c r="F652" t="s">
        <v>39</v>
      </c>
      <c r="G652">
        <v>19</v>
      </c>
      <c r="H652" t="s">
        <v>240</v>
      </c>
      <c r="I652" t="s">
        <v>241</v>
      </c>
      <c r="J652" t="s">
        <v>42</v>
      </c>
      <c r="K652" t="s">
        <v>242</v>
      </c>
      <c r="L652" t="s">
        <v>111</v>
      </c>
      <c r="M652" t="s">
        <v>45</v>
      </c>
      <c r="N652" t="s">
        <v>46</v>
      </c>
      <c r="O652">
        <v>23</v>
      </c>
      <c r="P652">
        <v>42.3913043478261</v>
      </c>
      <c r="Q652">
        <v>741.4</v>
      </c>
      <c r="R652">
        <v>0</v>
      </c>
      <c r="S652">
        <v>44.294167371090403</v>
      </c>
      <c r="T652">
        <f t="shared" si="10"/>
        <v>0.44294167371090404</v>
      </c>
      <c r="U652" t="s">
        <v>221</v>
      </c>
      <c r="V652" t="s">
        <v>48</v>
      </c>
    </row>
    <row r="653" spans="1:22" x14ac:dyDescent="0.25">
      <c r="A653">
        <v>652</v>
      </c>
      <c r="B653" t="s">
        <v>217</v>
      </c>
      <c r="C653" s="2">
        <v>43387</v>
      </c>
      <c r="D653" t="s">
        <v>37</v>
      </c>
      <c r="F653" t="s">
        <v>39</v>
      </c>
      <c r="G653">
        <v>19</v>
      </c>
      <c r="H653" t="s">
        <v>243</v>
      </c>
      <c r="I653" t="s">
        <v>244</v>
      </c>
      <c r="J653" t="s">
        <v>42</v>
      </c>
      <c r="K653" t="s">
        <v>245</v>
      </c>
      <c r="L653" t="s">
        <v>246</v>
      </c>
      <c r="M653" t="s">
        <v>45</v>
      </c>
      <c r="N653" t="s">
        <v>46</v>
      </c>
      <c r="O653">
        <v>15</v>
      </c>
      <c r="P653">
        <v>53.3333333333333</v>
      </c>
      <c r="Q653">
        <v>656.9</v>
      </c>
      <c r="R653">
        <v>0</v>
      </c>
      <c r="S653">
        <v>85.355648535564896</v>
      </c>
      <c r="T653">
        <f t="shared" si="10"/>
        <v>0.85355648535564899</v>
      </c>
      <c r="U653" t="s">
        <v>221</v>
      </c>
      <c r="V653" t="s">
        <v>48</v>
      </c>
    </row>
    <row r="654" spans="1:22" x14ac:dyDescent="0.25">
      <c r="A654">
        <v>653</v>
      </c>
      <c r="B654" t="s">
        <v>217</v>
      </c>
      <c r="C654" s="2">
        <v>43387</v>
      </c>
      <c r="D654" t="s">
        <v>37</v>
      </c>
      <c r="F654" t="s">
        <v>39</v>
      </c>
      <c r="G654">
        <v>19</v>
      </c>
      <c r="H654" t="s">
        <v>247</v>
      </c>
      <c r="I654" t="s">
        <v>248</v>
      </c>
      <c r="J654" t="s">
        <v>42</v>
      </c>
      <c r="K654" t="s">
        <v>249</v>
      </c>
      <c r="L654" t="s">
        <v>250</v>
      </c>
      <c r="M654" t="s">
        <v>45</v>
      </c>
      <c r="N654" t="s">
        <v>46</v>
      </c>
      <c r="O654">
        <v>31</v>
      </c>
      <c r="P654">
        <v>19.230769230769202</v>
      </c>
      <c r="Q654">
        <v>440.7</v>
      </c>
      <c r="R654">
        <v>0</v>
      </c>
      <c r="S654">
        <v>68.005540166204995</v>
      </c>
      <c r="T654">
        <f t="shared" si="10"/>
        <v>0.68005540166204992</v>
      </c>
      <c r="U654" t="s">
        <v>221</v>
      </c>
      <c r="V654" t="s">
        <v>48</v>
      </c>
    </row>
    <row r="655" spans="1:22" x14ac:dyDescent="0.25">
      <c r="A655">
        <v>654</v>
      </c>
      <c r="B655" t="s">
        <v>217</v>
      </c>
      <c r="C655" s="2">
        <v>43387</v>
      </c>
      <c r="D655" t="s">
        <v>37</v>
      </c>
      <c r="F655" t="s">
        <v>39</v>
      </c>
      <c r="G655">
        <v>18</v>
      </c>
      <c r="H655" t="s">
        <v>251</v>
      </c>
      <c r="I655" t="s">
        <v>252</v>
      </c>
      <c r="J655" t="s">
        <v>42</v>
      </c>
      <c r="K655" t="s">
        <v>253</v>
      </c>
      <c r="L655" t="s">
        <v>59</v>
      </c>
      <c r="M655" t="s">
        <v>45</v>
      </c>
      <c r="N655" t="s">
        <v>46</v>
      </c>
      <c r="O655">
        <v>55</v>
      </c>
      <c r="P655">
        <v>50.78125</v>
      </c>
      <c r="Q655">
        <v>780.1</v>
      </c>
      <c r="R655">
        <v>0</v>
      </c>
      <c r="S655">
        <v>54.7368421052632</v>
      </c>
      <c r="T655">
        <f t="shared" si="10"/>
        <v>0.54736842105263195</v>
      </c>
      <c r="U655" t="s">
        <v>221</v>
      </c>
      <c r="V655" t="s">
        <v>48</v>
      </c>
    </row>
    <row r="656" spans="1:22" x14ac:dyDescent="0.25">
      <c r="A656">
        <v>655</v>
      </c>
      <c r="B656" t="s">
        <v>217</v>
      </c>
      <c r="C656" s="2">
        <v>43387</v>
      </c>
      <c r="D656" t="s">
        <v>37</v>
      </c>
      <c r="F656" t="s">
        <v>39</v>
      </c>
      <c r="G656">
        <v>19</v>
      </c>
      <c r="H656" t="s">
        <v>254</v>
      </c>
      <c r="I656" t="s">
        <v>255</v>
      </c>
      <c r="J656" t="s">
        <v>42</v>
      </c>
      <c r="K656" t="s">
        <v>256</v>
      </c>
      <c r="L656" t="s">
        <v>177</v>
      </c>
      <c r="M656" t="s">
        <v>101</v>
      </c>
      <c r="N656" t="s">
        <v>257</v>
      </c>
      <c r="O656">
        <v>43</v>
      </c>
      <c r="P656">
        <v>43.835616438356197</v>
      </c>
      <c r="Q656">
        <v>722</v>
      </c>
      <c r="R656">
        <v>0</v>
      </c>
      <c r="S656">
        <v>54.316546762589901</v>
      </c>
      <c r="T656">
        <f t="shared" si="10"/>
        <v>0.54316546762589901</v>
      </c>
      <c r="U656" t="s">
        <v>221</v>
      </c>
      <c r="V656" t="s">
        <v>48</v>
      </c>
    </row>
    <row r="657" spans="1:22" x14ac:dyDescent="0.25">
      <c r="A657">
        <v>656</v>
      </c>
      <c r="B657" t="s">
        <v>217</v>
      </c>
      <c r="C657" s="2">
        <v>43387</v>
      </c>
      <c r="D657" t="s">
        <v>37</v>
      </c>
      <c r="F657" t="s">
        <v>39</v>
      </c>
      <c r="G657">
        <v>19</v>
      </c>
      <c r="H657" t="s">
        <v>258</v>
      </c>
      <c r="I657" t="s">
        <v>259</v>
      </c>
      <c r="J657" t="s">
        <v>42</v>
      </c>
      <c r="K657" t="s">
        <v>260</v>
      </c>
      <c r="L657" t="s">
        <v>261</v>
      </c>
      <c r="M657" t="s">
        <v>45</v>
      </c>
      <c r="N657" t="s">
        <v>257</v>
      </c>
      <c r="O657">
        <v>29</v>
      </c>
      <c r="P657">
        <v>26.923076923076898</v>
      </c>
      <c r="Q657">
        <v>601.79999999999995</v>
      </c>
      <c r="R657">
        <v>0</v>
      </c>
      <c r="S657">
        <v>47.429679922405398</v>
      </c>
      <c r="T657">
        <f t="shared" si="10"/>
        <v>0.47429679922405399</v>
      </c>
      <c r="U657" t="s">
        <v>221</v>
      </c>
      <c r="V657" t="s">
        <v>48</v>
      </c>
    </row>
    <row r="658" spans="1:22" x14ac:dyDescent="0.25">
      <c r="A658">
        <v>657</v>
      </c>
      <c r="B658" t="s">
        <v>217</v>
      </c>
      <c r="C658" s="2">
        <v>43387</v>
      </c>
      <c r="D658" t="s">
        <v>37</v>
      </c>
      <c r="F658" t="s">
        <v>39</v>
      </c>
      <c r="G658">
        <v>19</v>
      </c>
      <c r="H658" t="s">
        <v>262</v>
      </c>
      <c r="I658" t="s">
        <v>263</v>
      </c>
      <c r="J658" t="s">
        <v>42</v>
      </c>
      <c r="K658" t="s">
        <v>264</v>
      </c>
      <c r="L658" t="s">
        <v>111</v>
      </c>
      <c r="M658" t="s">
        <v>101</v>
      </c>
      <c r="N658" t="s">
        <v>257</v>
      </c>
      <c r="O658">
        <v>46</v>
      </c>
      <c r="P658">
        <v>78.409090909090907</v>
      </c>
      <c r="Q658">
        <v>688.9</v>
      </c>
      <c r="R658">
        <v>0</v>
      </c>
      <c r="S658">
        <v>62.866449511400702</v>
      </c>
      <c r="T658">
        <f t="shared" si="10"/>
        <v>0.62866449511400702</v>
      </c>
      <c r="U658" t="s">
        <v>221</v>
      </c>
      <c r="V658" t="s">
        <v>48</v>
      </c>
    </row>
    <row r="659" spans="1:22" x14ac:dyDescent="0.25">
      <c r="A659">
        <v>658</v>
      </c>
      <c r="B659" t="s">
        <v>217</v>
      </c>
      <c r="C659" s="2">
        <v>43387</v>
      </c>
      <c r="D659" t="s">
        <v>37</v>
      </c>
      <c r="F659" t="s">
        <v>39</v>
      </c>
      <c r="G659">
        <v>19</v>
      </c>
      <c r="H659" t="s">
        <v>265</v>
      </c>
      <c r="I659" t="s">
        <v>266</v>
      </c>
      <c r="J659" t="s">
        <v>42</v>
      </c>
      <c r="K659" t="s">
        <v>267</v>
      </c>
      <c r="L659" t="s">
        <v>268</v>
      </c>
      <c r="M659" t="s">
        <v>45</v>
      </c>
      <c r="N659" t="s">
        <v>257</v>
      </c>
      <c r="O659">
        <v>8</v>
      </c>
      <c r="P659">
        <v>25.78125</v>
      </c>
      <c r="Q659">
        <v>574</v>
      </c>
      <c r="R659">
        <v>0</v>
      </c>
      <c r="S659">
        <v>67.261904761904802</v>
      </c>
      <c r="T659">
        <f t="shared" si="10"/>
        <v>0.672619047619048</v>
      </c>
      <c r="U659" t="s">
        <v>221</v>
      </c>
      <c r="V659" t="s">
        <v>48</v>
      </c>
    </row>
    <row r="660" spans="1:22" x14ac:dyDescent="0.25">
      <c r="A660">
        <v>659</v>
      </c>
      <c r="B660" t="s">
        <v>217</v>
      </c>
      <c r="C660" s="2">
        <v>43387</v>
      </c>
      <c r="D660" t="s">
        <v>37</v>
      </c>
      <c r="F660" t="s">
        <v>39</v>
      </c>
      <c r="G660">
        <v>19</v>
      </c>
      <c r="H660" t="s">
        <v>269</v>
      </c>
      <c r="I660" t="s">
        <v>270</v>
      </c>
      <c r="J660" t="s">
        <v>42</v>
      </c>
      <c r="K660" t="s">
        <v>271</v>
      </c>
      <c r="L660" t="s">
        <v>111</v>
      </c>
      <c r="M660" t="s">
        <v>45</v>
      </c>
      <c r="N660" t="s">
        <v>257</v>
      </c>
      <c r="O660">
        <v>56</v>
      </c>
      <c r="P660">
        <v>23.684210526315798</v>
      </c>
      <c r="Q660">
        <v>457.6</v>
      </c>
      <c r="R660">
        <v>0</v>
      </c>
      <c r="S660">
        <v>58.974358974358999</v>
      </c>
      <c r="T660">
        <f t="shared" si="10"/>
        <v>0.58974358974358998</v>
      </c>
      <c r="U660" t="s">
        <v>221</v>
      </c>
      <c r="V660" t="s">
        <v>48</v>
      </c>
    </row>
    <row r="661" spans="1:22" x14ac:dyDescent="0.25">
      <c r="A661">
        <v>660</v>
      </c>
      <c r="B661" t="s">
        <v>217</v>
      </c>
      <c r="C661" s="2">
        <v>43387</v>
      </c>
      <c r="D661" t="s">
        <v>37</v>
      </c>
      <c r="F661" t="s">
        <v>39</v>
      </c>
      <c r="G661">
        <v>19</v>
      </c>
      <c r="H661" t="s">
        <v>272</v>
      </c>
      <c r="I661" t="s">
        <v>273</v>
      </c>
      <c r="J661" t="s">
        <v>42</v>
      </c>
      <c r="K661" t="s">
        <v>274</v>
      </c>
      <c r="L661" t="s">
        <v>275</v>
      </c>
      <c r="M661" t="s">
        <v>101</v>
      </c>
      <c r="N661" t="s">
        <v>257</v>
      </c>
      <c r="O661">
        <v>120</v>
      </c>
      <c r="P661">
        <v>59.7701149425287</v>
      </c>
      <c r="Q661">
        <v>801</v>
      </c>
      <c r="R661">
        <v>1</v>
      </c>
      <c r="S661">
        <v>60.797342192690998</v>
      </c>
      <c r="T661">
        <f t="shared" si="10"/>
        <v>0.60797342192690995</v>
      </c>
      <c r="U661" t="s">
        <v>221</v>
      </c>
      <c r="V661" t="s">
        <v>48</v>
      </c>
    </row>
    <row r="662" spans="1:22" x14ac:dyDescent="0.25">
      <c r="A662">
        <v>661</v>
      </c>
      <c r="B662" t="s">
        <v>217</v>
      </c>
      <c r="C662" s="2">
        <v>43387</v>
      </c>
      <c r="D662" t="s">
        <v>37</v>
      </c>
      <c r="F662" t="s">
        <v>39</v>
      </c>
      <c r="G662">
        <v>19</v>
      </c>
      <c r="H662" t="s">
        <v>276</v>
      </c>
      <c r="I662" t="s">
        <v>277</v>
      </c>
      <c r="J662" t="s">
        <v>42</v>
      </c>
      <c r="K662" t="s">
        <v>278</v>
      </c>
      <c r="L662" t="s">
        <v>177</v>
      </c>
      <c r="M662" t="s">
        <v>101</v>
      </c>
      <c r="N662" t="s">
        <v>257</v>
      </c>
      <c r="O662">
        <v>81</v>
      </c>
      <c r="P662">
        <v>14.285714285714301</v>
      </c>
      <c r="Q662">
        <v>575.9</v>
      </c>
      <c r="R662">
        <v>0</v>
      </c>
      <c r="S662">
        <v>60.532687651331699</v>
      </c>
      <c r="T662">
        <f t="shared" si="10"/>
        <v>0.60532687651331696</v>
      </c>
      <c r="U662" t="s">
        <v>221</v>
      </c>
      <c r="V662" t="s">
        <v>48</v>
      </c>
    </row>
    <row r="663" spans="1:22" x14ac:dyDescent="0.25">
      <c r="A663">
        <v>662</v>
      </c>
      <c r="B663" t="s">
        <v>217</v>
      </c>
      <c r="C663" s="2">
        <v>43387</v>
      </c>
      <c r="D663" t="s">
        <v>37</v>
      </c>
      <c r="F663" t="s">
        <v>39</v>
      </c>
      <c r="G663">
        <v>19</v>
      </c>
      <c r="H663" t="s">
        <v>279</v>
      </c>
      <c r="I663" t="s">
        <v>280</v>
      </c>
      <c r="J663" t="s">
        <v>42</v>
      </c>
      <c r="K663" t="s">
        <v>281</v>
      </c>
      <c r="L663" t="s">
        <v>177</v>
      </c>
      <c r="M663" t="s">
        <v>45</v>
      </c>
      <c r="N663" t="s">
        <v>257</v>
      </c>
      <c r="O663">
        <v>120</v>
      </c>
      <c r="P663">
        <v>54.545454545454497</v>
      </c>
      <c r="Q663">
        <v>481</v>
      </c>
      <c r="R663">
        <v>1</v>
      </c>
      <c r="S663">
        <v>54.577464788732399</v>
      </c>
      <c r="T663">
        <f t="shared" si="10"/>
        <v>0.54577464788732399</v>
      </c>
      <c r="U663" t="s">
        <v>221</v>
      </c>
      <c r="V663" t="s">
        <v>48</v>
      </c>
    </row>
    <row r="664" spans="1:22" x14ac:dyDescent="0.25">
      <c r="A664">
        <v>663</v>
      </c>
      <c r="B664" t="s">
        <v>217</v>
      </c>
      <c r="C664" s="2">
        <v>43387</v>
      </c>
      <c r="D664" t="s">
        <v>37</v>
      </c>
      <c r="F664" t="s">
        <v>39</v>
      </c>
      <c r="G664">
        <v>19</v>
      </c>
      <c r="H664" t="s">
        <v>282</v>
      </c>
      <c r="I664" t="s">
        <v>283</v>
      </c>
      <c r="J664" t="s">
        <v>42</v>
      </c>
      <c r="K664" t="s">
        <v>284</v>
      </c>
      <c r="L664" t="s">
        <v>285</v>
      </c>
      <c r="M664" t="s">
        <v>101</v>
      </c>
      <c r="N664" t="s">
        <v>257</v>
      </c>
      <c r="O664">
        <v>67</v>
      </c>
      <c r="P664">
        <v>16.438356164383599</v>
      </c>
      <c r="Q664">
        <v>701.4</v>
      </c>
      <c r="R664">
        <v>0</v>
      </c>
      <c r="S664">
        <v>56.8686868686869</v>
      </c>
      <c r="T664">
        <f t="shared" si="10"/>
        <v>0.56868686868686902</v>
      </c>
      <c r="U664" t="s">
        <v>221</v>
      </c>
      <c r="V664" t="s">
        <v>48</v>
      </c>
    </row>
    <row r="665" spans="1:22" x14ac:dyDescent="0.25">
      <c r="A665">
        <v>664</v>
      </c>
      <c r="B665" t="s">
        <v>217</v>
      </c>
      <c r="C665" s="2">
        <v>43387</v>
      </c>
      <c r="D665" t="s">
        <v>37</v>
      </c>
      <c r="F665" t="s">
        <v>39</v>
      </c>
      <c r="G665">
        <v>19</v>
      </c>
      <c r="H665" t="s">
        <v>286</v>
      </c>
      <c r="I665" t="s">
        <v>287</v>
      </c>
      <c r="J665" t="s">
        <v>42</v>
      </c>
      <c r="K665" t="s">
        <v>288</v>
      </c>
      <c r="L665" t="s">
        <v>289</v>
      </c>
      <c r="M665" t="s">
        <v>45</v>
      </c>
      <c r="N665" t="s">
        <v>257</v>
      </c>
      <c r="O665">
        <v>43</v>
      </c>
      <c r="P665">
        <v>28.099173553719002</v>
      </c>
      <c r="Q665">
        <v>509.6</v>
      </c>
      <c r="R665">
        <v>0</v>
      </c>
      <c r="S665">
        <v>66.3366336633663</v>
      </c>
      <c r="T665">
        <f t="shared" si="10"/>
        <v>0.66336633663366296</v>
      </c>
      <c r="U665" t="s">
        <v>221</v>
      </c>
      <c r="V665" t="s">
        <v>48</v>
      </c>
    </row>
    <row r="666" spans="1:22" x14ac:dyDescent="0.25">
      <c r="A666">
        <v>665</v>
      </c>
      <c r="B666" t="s">
        <v>217</v>
      </c>
      <c r="C666" s="2">
        <v>43387</v>
      </c>
      <c r="D666" t="s">
        <v>37</v>
      </c>
      <c r="F666" t="s">
        <v>39</v>
      </c>
      <c r="G666">
        <v>19</v>
      </c>
      <c r="H666" t="s">
        <v>290</v>
      </c>
      <c r="I666" t="s">
        <v>291</v>
      </c>
      <c r="J666" t="s">
        <v>42</v>
      </c>
      <c r="K666" t="s">
        <v>292</v>
      </c>
      <c r="L666" t="s">
        <v>293</v>
      </c>
      <c r="M666" t="s">
        <v>101</v>
      </c>
      <c r="N666" t="s">
        <v>294</v>
      </c>
      <c r="O666">
        <v>19</v>
      </c>
      <c r="P666">
        <v>57.142857142857103</v>
      </c>
      <c r="Q666">
        <v>502.7</v>
      </c>
      <c r="R666">
        <v>0</v>
      </c>
      <c r="S666">
        <v>56.791104050834001</v>
      </c>
      <c r="T666">
        <f t="shared" si="10"/>
        <v>0.56791104050833996</v>
      </c>
      <c r="U666" t="s">
        <v>221</v>
      </c>
      <c r="V666" t="s">
        <v>295</v>
      </c>
    </row>
    <row r="667" spans="1:22" x14ac:dyDescent="0.25">
      <c r="A667">
        <v>666</v>
      </c>
      <c r="B667" t="s">
        <v>217</v>
      </c>
      <c r="C667" s="2">
        <v>43387</v>
      </c>
      <c r="D667" t="s">
        <v>37</v>
      </c>
      <c r="F667" t="s">
        <v>39</v>
      </c>
      <c r="G667">
        <v>19</v>
      </c>
      <c r="H667" t="s">
        <v>296</v>
      </c>
      <c r="I667" t="s">
        <v>297</v>
      </c>
      <c r="J667" t="s">
        <v>42</v>
      </c>
      <c r="K667" t="s">
        <v>298</v>
      </c>
      <c r="L667" t="s">
        <v>293</v>
      </c>
      <c r="M667" t="s">
        <v>101</v>
      </c>
      <c r="N667" t="s">
        <v>294</v>
      </c>
      <c r="O667">
        <v>27</v>
      </c>
      <c r="P667">
        <v>17.1875</v>
      </c>
      <c r="Q667">
        <v>484.2</v>
      </c>
      <c r="R667">
        <v>0</v>
      </c>
      <c r="S667">
        <v>83.620689655172399</v>
      </c>
      <c r="T667">
        <f t="shared" si="10"/>
        <v>0.83620689655172398</v>
      </c>
      <c r="U667" t="s">
        <v>221</v>
      </c>
      <c r="V667" t="s">
        <v>295</v>
      </c>
    </row>
    <row r="668" spans="1:22" x14ac:dyDescent="0.25">
      <c r="A668">
        <v>667</v>
      </c>
      <c r="B668" t="s">
        <v>217</v>
      </c>
      <c r="C668" s="2">
        <v>43387</v>
      </c>
      <c r="D668" t="s">
        <v>37</v>
      </c>
      <c r="F668" t="s">
        <v>39</v>
      </c>
      <c r="G668">
        <v>19</v>
      </c>
      <c r="H668" t="s">
        <v>299</v>
      </c>
      <c r="I668" t="s">
        <v>300</v>
      </c>
      <c r="J668" t="s">
        <v>42</v>
      </c>
      <c r="K668" t="s">
        <v>301</v>
      </c>
      <c r="L668" t="s">
        <v>302</v>
      </c>
      <c r="M668" t="s">
        <v>45</v>
      </c>
      <c r="N668" t="s">
        <v>294</v>
      </c>
      <c r="O668">
        <v>47</v>
      </c>
      <c r="P668">
        <v>48.421052631579002</v>
      </c>
      <c r="Q668">
        <v>642.29999999999995</v>
      </c>
      <c r="R668">
        <v>0</v>
      </c>
      <c r="S668">
        <v>57.293497363796099</v>
      </c>
      <c r="T668">
        <f t="shared" si="10"/>
        <v>0.57293497363796098</v>
      </c>
      <c r="U668" t="s">
        <v>221</v>
      </c>
      <c r="V668" t="s">
        <v>295</v>
      </c>
    </row>
    <row r="669" spans="1:22" x14ac:dyDescent="0.25">
      <c r="A669">
        <v>668</v>
      </c>
      <c r="B669" t="s">
        <v>217</v>
      </c>
      <c r="C669" s="2">
        <v>43387</v>
      </c>
      <c r="D669" t="s">
        <v>37</v>
      </c>
      <c r="F669" t="s">
        <v>39</v>
      </c>
      <c r="G669">
        <v>19</v>
      </c>
      <c r="H669" t="s">
        <v>303</v>
      </c>
      <c r="I669" t="s">
        <v>304</v>
      </c>
      <c r="J669" t="s">
        <v>42</v>
      </c>
      <c r="K669" t="s">
        <v>305</v>
      </c>
      <c r="L669" t="s">
        <v>250</v>
      </c>
      <c r="M669" t="s">
        <v>101</v>
      </c>
      <c r="N669" t="s">
        <v>294</v>
      </c>
      <c r="O669">
        <v>53</v>
      </c>
      <c r="P669">
        <v>20</v>
      </c>
      <c r="Q669">
        <v>666.8</v>
      </c>
      <c r="R669">
        <v>0</v>
      </c>
      <c r="S669">
        <v>51.842439644218501</v>
      </c>
      <c r="T669">
        <f t="shared" si="10"/>
        <v>0.51842439644218496</v>
      </c>
      <c r="U669" t="s">
        <v>221</v>
      </c>
      <c r="V669" t="s">
        <v>295</v>
      </c>
    </row>
    <row r="670" spans="1:22" x14ac:dyDescent="0.25">
      <c r="A670">
        <v>669</v>
      </c>
      <c r="B670" t="s">
        <v>217</v>
      </c>
      <c r="C670" s="2">
        <v>43387</v>
      </c>
      <c r="D670" t="s">
        <v>37</v>
      </c>
      <c r="F670" t="s">
        <v>39</v>
      </c>
      <c r="G670">
        <v>19</v>
      </c>
      <c r="H670" t="s">
        <v>306</v>
      </c>
      <c r="I670" t="s">
        <v>307</v>
      </c>
      <c r="J670" t="s">
        <v>42</v>
      </c>
      <c r="K670" t="s">
        <v>308</v>
      </c>
      <c r="L670" t="s">
        <v>250</v>
      </c>
      <c r="M670" t="s">
        <v>101</v>
      </c>
      <c r="N670" t="s">
        <v>294</v>
      </c>
      <c r="O670">
        <v>55</v>
      </c>
      <c r="P670">
        <v>44.318181818181799</v>
      </c>
      <c r="Q670">
        <v>687.7</v>
      </c>
      <c r="R670">
        <v>0</v>
      </c>
      <c r="S670">
        <v>62.3306233062331</v>
      </c>
      <c r="T670">
        <f t="shared" si="10"/>
        <v>0.62330623306233102</v>
      </c>
      <c r="U670" t="s">
        <v>221</v>
      </c>
      <c r="V670" t="s">
        <v>295</v>
      </c>
    </row>
    <row r="671" spans="1:22" x14ac:dyDescent="0.25">
      <c r="A671">
        <v>670</v>
      </c>
      <c r="B671" t="s">
        <v>217</v>
      </c>
      <c r="C671" s="2">
        <v>43387</v>
      </c>
      <c r="D671" t="s">
        <v>37</v>
      </c>
      <c r="F671" t="s">
        <v>39</v>
      </c>
      <c r="G671">
        <v>19</v>
      </c>
      <c r="H671" t="s">
        <v>309</v>
      </c>
      <c r="I671" t="s">
        <v>310</v>
      </c>
      <c r="J671" t="s">
        <v>42</v>
      </c>
      <c r="K671" t="s">
        <v>311</v>
      </c>
      <c r="L671" t="s">
        <v>250</v>
      </c>
      <c r="M671" t="s">
        <v>101</v>
      </c>
      <c r="N671" t="s">
        <v>294</v>
      </c>
      <c r="O671">
        <v>24</v>
      </c>
      <c r="P671">
        <v>60</v>
      </c>
      <c r="Q671">
        <v>579.5</v>
      </c>
      <c r="R671">
        <v>0</v>
      </c>
      <c r="S671">
        <v>52.190923317683897</v>
      </c>
      <c r="T671">
        <f t="shared" si="10"/>
        <v>0.52190923317683902</v>
      </c>
      <c r="U671" t="s">
        <v>221</v>
      </c>
      <c r="V671" t="s">
        <v>295</v>
      </c>
    </row>
    <row r="672" spans="1:22" x14ac:dyDescent="0.25">
      <c r="A672">
        <v>671</v>
      </c>
      <c r="B672" t="s">
        <v>217</v>
      </c>
      <c r="C672" s="2">
        <v>43387</v>
      </c>
      <c r="D672" t="s">
        <v>37</v>
      </c>
      <c r="F672" t="s">
        <v>39</v>
      </c>
      <c r="G672">
        <v>19</v>
      </c>
      <c r="H672" t="s">
        <v>312</v>
      </c>
      <c r="I672" t="s">
        <v>313</v>
      </c>
      <c r="J672" t="s">
        <v>42</v>
      </c>
      <c r="K672" t="s">
        <v>314</v>
      </c>
      <c r="L672" t="s">
        <v>250</v>
      </c>
      <c r="M672" t="s">
        <v>101</v>
      </c>
      <c r="N672" t="s">
        <v>294</v>
      </c>
      <c r="O672">
        <v>32</v>
      </c>
      <c r="P672">
        <v>21.428571428571399</v>
      </c>
      <c r="Q672">
        <v>645</v>
      </c>
      <c r="R672">
        <v>0</v>
      </c>
      <c r="S672">
        <v>49.936305732484101</v>
      </c>
      <c r="T672">
        <f t="shared" si="10"/>
        <v>0.49936305732484099</v>
      </c>
      <c r="U672" t="s">
        <v>221</v>
      </c>
      <c r="V672" t="s">
        <v>295</v>
      </c>
    </row>
    <row r="673" spans="1:22" x14ac:dyDescent="0.25">
      <c r="A673">
        <v>672</v>
      </c>
      <c r="B673" t="s">
        <v>217</v>
      </c>
      <c r="C673" s="2">
        <v>43387</v>
      </c>
      <c r="D673" t="s">
        <v>37</v>
      </c>
      <c r="F673" t="s">
        <v>39</v>
      </c>
      <c r="G673">
        <v>19</v>
      </c>
      <c r="H673" t="s">
        <v>315</v>
      </c>
      <c r="I673" t="s">
        <v>316</v>
      </c>
      <c r="J673" t="s">
        <v>42</v>
      </c>
      <c r="K673" t="s">
        <v>317</v>
      </c>
      <c r="L673" t="s">
        <v>185</v>
      </c>
      <c r="M673" t="s">
        <v>101</v>
      </c>
      <c r="N673" t="s">
        <v>294</v>
      </c>
      <c r="O673">
        <v>46</v>
      </c>
      <c r="P673">
        <v>13.8888888888889</v>
      </c>
      <c r="Q673">
        <v>501.9</v>
      </c>
      <c r="R673">
        <v>0</v>
      </c>
      <c r="S673">
        <v>79.812206572769995</v>
      </c>
      <c r="T673">
        <f t="shared" si="10"/>
        <v>0.79812206572769995</v>
      </c>
      <c r="U673" t="s">
        <v>221</v>
      </c>
      <c r="V673" t="s">
        <v>295</v>
      </c>
    </row>
    <row r="674" spans="1:22" x14ac:dyDescent="0.25">
      <c r="A674">
        <v>673</v>
      </c>
      <c r="B674" t="s">
        <v>217</v>
      </c>
      <c r="C674" s="2">
        <v>43387</v>
      </c>
      <c r="D674" t="s">
        <v>37</v>
      </c>
      <c r="F674" t="s">
        <v>39</v>
      </c>
      <c r="G674">
        <v>19</v>
      </c>
      <c r="H674" t="s">
        <v>318</v>
      </c>
      <c r="I674" t="s">
        <v>319</v>
      </c>
      <c r="J674" t="s">
        <v>109</v>
      </c>
      <c r="K674" t="s">
        <v>320</v>
      </c>
      <c r="L674" t="s">
        <v>185</v>
      </c>
      <c r="M674" t="s">
        <v>101</v>
      </c>
      <c r="N674" t="s">
        <v>294</v>
      </c>
      <c r="O674">
        <v>16</v>
      </c>
      <c r="P674">
        <v>2.1739130434782599</v>
      </c>
      <c r="Q674">
        <v>627.20000000000005</v>
      </c>
      <c r="R674">
        <v>0</v>
      </c>
      <c r="S674">
        <v>50</v>
      </c>
      <c r="T674">
        <f t="shared" si="10"/>
        <v>0.5</v>
      </c>
      <c r="U674" t="s">
        <v>221</v>
      </c>
      <c r="V674" t="s">
        <v>295</v>
      </c>
    </row>
    <row r="675" spans="1:22" x14ac:dyDescent="0.25">
      <c r="A675">
        <v>674</v>
      </c>
      <c r="B675" t="s">
        <v>217</v>
      </c>
      <c r="C675" s="2">
        <v>43396</v>
      </c>
      <c r="D675" t="s">
        <v>37</v>
      </c>
      <c r="F675" t="s">
        <v>39</v>
      </c>
      <c r="G675">
        <v>19</v>
      </c>
      <c r="H675" t="s">
        <v>321</v>
      </c>
      <c r="I675" t="s">
        <v>322</v>
      </c>
      <c r="J675" t="s">
        <v>42</v>
      </c>
      <c r="K675" t="s">
        <v>323</v>
      </c>
      <c r="L675" t="s">
        <v>185</v>
      </c>
      <c r="M675" t="s">
        <v>101</v>
      </c>
      <c r="N675" t="s">
        <v>294</v>
      </c>
      <c r="O675">
        <v>9</v>
      </c>
      <c r="P675">
        <v>53.658536585365901</v>
      </c>
      <c r="Q675">
        <v>652</v>
      </c>
      <c r="R675">
        <v>0</v>
      </c>
      <c r="S675">
        <v>42.251655629139101</v>
      </c>
      <c r="T675">
        <f t="shared" si="10"/>
        <v>0.42251655629139101</v>
      </c>
      <c r="U675" t="s">
        <v>221</v>
      </c>
      <c r="V675" t="s">
        <v>295</v>
      </c>
    </row>
    <row r="676" spans="1:22" x14ac:dyDescent="0.25">
      <c r="A676">
        <v>675</v>
      </c>
      <c r="B676" t="s">
        <v>217</v>
      </c>
      <c r="C676" s="2">
        <v>43396</v>
      </c>
      <c r="D676" t="s">
        <v>37</v>
      </c>
      <c r="F676" t="s">
        <v>39</v>
      </c>
      <c r="G676">
        <v>20</v>
      </c>
      <c r="H676" t="s">
        <v>218</v>
      </c>
      <c r="I676" t="s">
        <v>219</v>
      </c>
      <c r="J676" t="s">
        <v>42</v>
      </c>
      <c r="K676" t="s">
        <v>220</v>
      </c>
      <c r="L676" t="s">
        <v>44</v>
      </c>
      <c r="M676" t="s">
        <v>45</v>
      </c>
      <c r="N676" t="s">
        <v>46</v>
      </c>
      <c r="O676">
        <v>15</v>
      </c>
      <c r="P676">
        <v>66.6666666666667</v>
      </c>
      <c r="Q676">
        <v>530</v>
      </c>
      <c r="R676">
        <v>0</v>
      </c>
      <c r="S676">
        <v>46.460176991150398</v>
      </c>
      <c r="T676">
        <f t="shared" si="10"/>
        <v>0.46460176991150398</v>
      </c>
      <c r="U676" t="s">
        <v>221</v>
      </c>
      <c r="V676" t="s">
        <v>48</v>
      </c>
    </row>
    <row r="677" spans="1:22" x14ac:dyDescent="0.25">
      <c r="A677">
        <v>676</v>
      </c>
      <c r="B677" t="s">
        <v>217</v>
      </c>
      <c r="C677" s="2">
        <v>43396</v>
      </c>
      <c r="D677" t="s">
        <v>37</v>
      </c>
      <c r="F677" t="s">
        <v>39</v>
      </c>
      <c r="G677">
        <v>20</v>
      </c>
      <c r="H677" t="s">
        <v>222</v>
      </c>
      <c r="I677" t="s">
        <v>223</v>
      </c>
      <c r="J677" t="s">
        <v>42</v>
      </c>
      <c r="K677" t="s">
        <v>224</v>
      </c>
      <c r="L677" t="s">
        <v>225</v>
      </c>
      <c r="M677" t="s">
        <v>45</v>
      </c>
      <c r="N677" t="s">
        <v>46</v>
      </c>
      <c r="O677">
        <v>12</v>
      </c>
      <c r="P677">
        <v>86.764705882352899</v>
      </c>
      <c r="Q677">
        <v>706.2</v>
      </c>
      <c r="R677">
        <v>0</v>
      </c>
      <c r="S677">
        <v>47.750362844702501</v>
      </c>
      <c r="T677">
        <f t="shared" si="10"/>
        <v>0.47750362844702499</v>
      </c>
      <c r="U677" t="s">
        <v>221</v>
      </c>
      <c r="V677" t="s">
        <v>48</v>
      </c>
    </row>
    <row r="678" spans="1:22" x14ac:dyDescent="0.25">
      <c r="A678">
        <v>677</v>
      </c>
      <c r="B678" t="s">
        <v>217</v>
      </c>
      <c r="C678" s="2">
        <v>43396</v>
      </c>
      <c r="D678" t="s">
        <v>37</v>
      </c>
      <c r="F678" t="s">
        <v>39</v>
      </c>
      <c r="G678">
        <v>20</v>
      </c>
      <c r="H678" t="s">
        <v>226</v>
      </c>
      <c r="I678" t="s">
        <v>227</v>
      </c>
      <c r="J678" t="s">
        <v>42</v>
      </c>
      <c r="K678" t="s">
        <v>228</v>
      </c>
      <c r="L678" t="s">
        <v>225</v>
      </c>
      <c r="M678" t="s">
        <v>45</v>
      </c>
      <c r="N678" t="s">
        <v>46</v>
      </c>
      <c r="O678">
        <v>15</v>
      </c>
      <c r="P678">
        <v>47.619047619047599</v>
      </c>
      <c r="Q678">
        <v>472.8</v>
      </c>
      <c r="R678">
        <v>0</v>
      </c>
      <c r="S678">
        <v>49.056603773584897</v>
      </c>
      <c r="T678">
        <f t="shared" si="10"/>
        <v>0.49056603773584895</v>
      </c>
      <c r="U678" t="s">
        <v>221</v>
      </c>
      <c r="V678" t="s">
        <v>48</v>
      </c>
    </row>
    <row r="679" spans="1:22" x14ac:dyDescent="0.25">
      <c r="A679">
        <v>678</v>
      </c>
      <c r="B679" t="s">
        <v>217</v>
      </c>
      <c r="C679" s="2">
        <v>43396</v>
      </c>
      <c r="D679" t="s">
        <v>37</v>
      </c>
      <c r="F679" t="s">
        <v>39</v>
      </c>
      <c r="G679">
        <v>20</v>
      </c>
      <c r="H679" t="s">
        <v>229</v>
      </c>
      <c r="I679" t="s">
        <v>230</v>
      </c>
      <c r="J679" t="s">
        <v>42</v>
      </c>
      <c r="K679" t="s">
        <v>231</v>
      </c>
      <c r="L679" t="s">
        <v>232</v>
      </c>
      <c r="M679" t="s">
        <v>45</v>
      </c>
      <c r="N679" t="s">
        <v>46</v>
      </c>
      <c r="O679">
        <v>21</v>
      </c>
      <c r="P679">
        <v>46.6666666666667</v>
      </c>
      <c r="Q679">
        <v>476.2</v>
      </c>
      <c r="R679">
        <v>0</v>
      </c>
      <c r="S679">
        <v>55.766192733017398</v>
      </c>
      <c r="T679">
        <f t="shared" si="10"/>
        <v>0.55766192733017395</v>
      </c>
      <c r="U679" t="s">
        <v>221</v>
      </c>
      <c r="V679" t="s">
        <v>48</v>
      </c>
    </row>
    <row r="680" spans="1:22" x14ac:dyDescent="0.25">
      <c r="A680">
        <v>679</v>
      </c>
      <c r="B680" t="s">
        <v>217</v>
      </c>
      <c r="C680" s="2">
        <v>43396</v>
      </c>
      <c r="D680" t="s">
        <v>37</v>
      </c>
      <c r="F680" t="s">
        <v>39</v>
      </c>
      <c r="G680">
        <v>20</v>
      </c>
      <c r="H680" t="s">
        <v>233</v>
      </c>
      <c r="I680" t="s">
        <v>234</v>
      </c>
      <c r="J680" t="s">
        <v>42</v>
      </c>
      <c r="K680" t="s">
        <v>235</v>
      </c>
      <c r="L680" t="s">
        <v>232</v>
      </c>
      <c r="M680" t="s">
        <v>45</v>
      </c>
      <c r="N680" t="s">
        <v>46</v>
      </c>
      <c r="O680">
        <v>13</v>
      </c>
      <c r="P680">
        <v>56.716417910447802</v>
      </c>
      <c r="Q680">
        <v>592.9</v>
      </c>
      <c r="R680">
        <v>0</v>
      </c>
      <c r="S680">
        <v>45.803698435277397</v>
      </c>
      <c r="T680">
        <f t="shared" si="10"/>
        <v>0.45803698435277396</v>
      </c>
      <c r="U680" t="s">
        <v>221</v>
      </c>
      <c r="V680" t="s">
        <v>48</v>
      </c>
    </row>
    <row r="681" spans="1:22" x14ac:dyDescent="0.25">
      <c r="A681">
        <v>680</v>
      </c>
      <c r="B681" t="s">
        <v>217</v>
      </c>
      <c r="C681" s="2">
        <v>43396</v>
      </c>
      <c r="D681" t="s">
        <v>37</v>
      </c>
      <c r="F681" t="s">
        <v>39</v>
      </c>
      <c r="G681">
        <v>20</v>
      </c>
      <c r="H681" t="s">
        <v>236</v>
      </c>
      <c r="I681" t="s">
        <v>237</v>
      </c>
      <c r="J681" t="s">
        <v>42</v>
      </c>
      <c r="K681" t="s">
        <v>238</v>
      </c>
      <c r="L681" t="s">
        <v>239</v>
      </c>
      <c r="M681" t="s">
        <v>45</v>
      </c>
      <c r="N681" t="s">
        <v>46</v>
      </c>
      <c r="O681">
        <v>10</v>
      </c>
      <c r="P681">
        <v>64.705882352941202</v>
      </c>
      <c r="Q681">
        <v>629.5</v>
      </c>
      <c r="R681">
        <v>0</v>
      </c>
      <c r="S681">
        <v>69.868995633187794</v>
      </c>
      <c r="T681">
        <f t="shared" si="10"/>
        <v>0.69868995633187791</v>
      </c>
      <c r="U681" t="s">
        <v>221</v>
      </c>
      <c r="V681" t="s">
        <v>48</v>
      </c>
    </row>
    <row r="682" spans="1:22" x14ac:dyDescent="0.25">
      <c r="A682">
        <v>681</v>
      </c>
      <c r="B682" t="s">
        <v>217</v>
      </c>
      <c r="C682" s="2">
        <v>43396</v>
      </c>
      <c r="D682" t="s">
        <v>37</v>
      </c>
      <c r="F682" t="s">
        <v>39</v>
      </c>
      <c r="G682">
        <v>20</v>
      </c>
      <c r="H682" t="s">
        <v>240</v>
      </c>
      <c r="I682" t="s">
        <v>241</v>
      </c>
      <c r="J682" t="s">
        <v>42</v>
      </c>
      <c r="K682" t="s">
        <v>242</v>
      </c>
      <c r="L682" t="s">
        <v>111</v>
      </c>
      <c r="M682" t="s">
        <v>45</v>
      </c>
      <c r="N682" t="s">
        <v>46</v>
      </c>
      <c r="O682">
        <v>14</v>
      </c>
      <c r="P682">
        <v>57.142857142857103</v>
      </c>
      <c r="Q682">
        <v>693.4</v>
      </c>
      <c r="R682">
        <v>0</v>
      </c>
      <c r="S682">
        <v>44.1711229946524</v>
      </c>
      <c r="T682">
        <f t="shared" si="10"/>
        <v>0.44171122994652401</v>
      </c>
      <c r="U682" t="s">
        <v>221</v>
      </c>
      <c r="V682" t="s">
        <v>48</v>
      </c>
    </row>
    <row r="683" spans="1:22" x14ac:dyDescent="0.25">
      <c r="A683">
        <v>682</v>
      </c>
      <c r="B683" t="s">
        <v>217</v>
      </c>
      <c r="C683" s="2">
        <v>43396</v>
      </c>
      <c r="D683" t="s">
        <v>37</v>
      </c>
      <c r="F683" t="s">
        <v>39</v>
      </c>
      <c r="G683">
        <v>20</v>
      </c>
      <c r="H683" t="s">
        <v>243</v>
      </c>
      <c r="I683" t="s">
        <v>244</v>
      </c>
      <c r="J683" t="s">
        <v>42</v>
      </c>
      <c r="K683" t="s">
        <v>245</v>
      </c>
      <c r="L683" t="s">
        <v>246</v>
      </c>
      <c r="M683" t="s">
        <v>45</v>
      </c>
      <c r="N683" t="s">
        <v>46</v>
      </c>
      <c r="O683">
        <v>12</v>
      </c>
      <c r="P683">
        <v>61.403508771929801</v>
      </c>
      <c r="Q683">
        <v>569.79999999999995</v>
      </c>
      <c r="R683">
        <v>0</v>
      </c>
      <c r="S683">
        <v>42.574257425742601</v>
      </c>
      <c r="T683">
        <f t="shared" si="10"/>
        <v>0.42574257425742601</v>
      </c>
      <c r="U683" t="s">
        <v>221</v>
      </c>
      <c r="V683" t="s">
        <v>48</v>
      </c>
    </row>
    <row r="684" spans="1:22" x14ac:dyDescent="0.25">
      <c r="A684">
        <v>683</v>
      </c>
      <c r="B684" t="s">
        <v>217</v>
      </c>
      <c r="C684" s="2">
        <v>43396</v>
      </c>
      <c r="D684" t="s">
        <v>37</v>
      </c>
      <c r="F684" t="s">
        <v>39</v>
      </c>
      <c r="G684">
        <v>20</v>
      </c>
      <c r="H684" t="s">
        <v>247</v>
      </c>
      <c r="I684" t="s">
        <v>248</v>
      </c>
      <c r="J684" t="s">
        <v>42</v>
      </c>
      <c r="K684" t="s">
        <v>249</v>
      </c>
      <c r="L684" t="s">
        <v>250</v>
      </c>
      <c r="M684" t="s">
        <v>45</v>
      </c>
      <c r="N684" t="s">
        <v>46</v>
      </c>
      <c r="O684">
        <v>34</v>
      </c>
      <c r="P684">
        <v>75</v>
      </c>
      <c r="Q684">
        <v>497.9</v>
      </c>
      <c r="R684">
        <v>0</v>
      </c>
      <c r="S684">
        <v>64.285714285714306</v>
      </c>
      <c r="T684">
        <f t="shared" si="10"/>
        <v>0.64285714285714302</v>
      </c>
      <c r="U684" t="s">
        <v>221</v>
      </c>
      <c r="V684" t="s">
        <v>48</v>
      </c>
    </row>
    <row r="685" spans="1:22" x14ac:dyDescent="0.25">
      <c r="A685">
        <v>684</v>
      </c>
      <c r="B685" t="s">
        <v>217</v>
      </c>
      <c r="C685" s="2">
        <v>43396</v>
      </c>
      <c r="D685" t="s">
        <v>37</v>
      </c>
      <c r="F685" t="s">
        <v>39</v>
      </c>
      <c r="G685">
        <v>19</v>
      </c>
      <c r="H685" t="s">
        <v>251</v>
      </c>
      <c r="I685" t="s">
        <v>252</v>
      </c>
      <c r="J685" t="s">
        <v>42</v>
      </c>
      <c r="K685" t="s">
        <v>253</v>
      </c>
      <c r="L685" t="s">
        <v>59</v>
      </c>
      <c r="M685" t="s">
        <v>45</v>
      </c>
      <c r="N685" t="s">
        <v>46</v>
      </c>
      <c r="O685">
        <v>115</v>
      </c>
      <c r="P685">
        <v>58.771929824561397</v>
      </c>
      <c r="Q685">
        <v>674.2</v>
      </c>
      <c r="R685">
        <v>0</v>
      </c>
      <c r="S685">
        <v>56.824264049955403</v>
      </c>
      <c r="T685">
        <f t="shared" si="10"/>
        <v>0.56824264049955397</v>
      </c>
      <c r="U685" t="s">
        <v>221</v>
      </c>
      <c r="V685" t="s">
        <v>48</v>
      </c>
    </row>
    <row r="686" spans="1:22" x14ac:dyDescent="0.25">
      <c r="A686">
        <v>685</v>
      </c>
      <c r="B686" t="s">
        <v>217</v>
      </c>
      <c r="C686" s="2">
        <v>43396</v>
      </c>
      <c r="D686" t="s">
        <v>37</v>
      </c>
      <c r="F686" t="s">
        <v>39</v>
      </c>
      <c r="G686">
        <v>20</v>
      </c>
      <c r="H686" t="s">
        <v>254</v>
      </c>
      <c r="I686" t="s">
        <v>255</v>
      </c>
      <c r="J686" t="s">
        <v>42</v>
      </c>
      <c r="K686" t="s">
        <v>256</v>
      </c>
      <c r="L686" t="s">
        <v>177</v>
      </c>
      <c r="M686" t="s">
        <v>101</v>
      </c>
      <c r="N686" t="s">
        <v>257</v>
      </c>
      <c r="O686">
        <v>31</v>
      </c>
      <c r="P686">
        <v>64.835164835164804</v>
      </c>
      <c r="Q686">
        <v>624.79999999999995</v>
      </c>
      <c r="R686">
        <v>0</v>
      </c>
      <c r="S686">
        <v>48.740310077519403</v>
      </c>
      <c r="T686">
        <f t="shared" si="10"/>
        <v>0.48740310077519405</v>
      </c>
      <c r="U686" t="s">
        <v>221</v>
      </c>
      <c r="V686" t="s">
        <v>48</v>
      </c>
    </row>
    <row r="687" spans="1:22" x14ac:dyDescent="0.25">
      <c r="A687">
        <v>686</v>
      </c>
      <c r="B687" t="s">
        <v>217</v>
      </c>
      <c r="C687" s="2">
        <v>43396</v>
      </c>
      <c r="D687" t="s">
        <v>37</v>
      </c>
      <c r="F687" t="s">
        <v>39</v>
      </c>
      <c r="G687">
        <v>20</v>
      </c>
      <c r="H687" t="s">
        <v>258</v>
      </c>
      <c r="I687" t="s">
        <v>259</v>
      </c>
      <c r="J687" t="s">
        <v>42</v>
      </c>
      <c r="K687" t="s">
        <v>260</v>
      </c>
      <c r="L687" t="s">
        <v>261</v>
      </c>
      <c r="M687" t="s">
        <v>45</v>
      </c>
      <c r="N687" t="s">
        <v>257</v>
      </c>
      <c r="O687">
        <v>17</v>
      </c>
      <c r="P687">
        <v>66.6666666666667</v>
      </c>
      <c r="Q687">
        <v>679.2</v>
      </c>
      <c r="R687">
        <v>0</v>
      </c>
      <c r="S687">
        <v>45.2554744525548</v>
      </c>
      <c r="T687">
        <f t="shared" si="10"/>
        <v>0.452554744525548</v>
      </c>
      <c r="U687" t="s">
        <v>221</v>
      </c>
      <c r="V687" t="s">
        <v>48</v>
      </c>
    </row>
    <row r="688" spans="1:22" x14ac:dyDescent="0.25">
      <c r="A688">
        <v>687</v>
      </c>
      <c r="B688" t="s">
        <v>217</v>
      </c>
      <c r="C688" s="2">
        <v>43396</v>
      </c>
      <c r="D688" t="s">
        <v>37</v>
      </c>
      <c r="F688" t="s">
        <v>39</v>
      </c>
      <c r="G688">
        <v>20</v>
      </c>
      <c r="H688" t="s">
        <v>262</v>
      </c>
      <c r="I688" t="s">
        <v>263</v>
      </c>
      <c r="J688" t="s">
        <v>42</v>
      </c>
      <c r="K688" t="s">
        <v>264</v>
      </c>
      <c r="L688" t="s">
        <v>111</v>
      </c>
      <c r="M688" t="s">
        <v>101</v>
      </c>
      <c r="N688" t="s">
        <v>257</v>
      </c>
      <c r="O688">
        <v>41</v>
      </c>
      <c r="P688">
        <v>58.730158730158699</v>
      </c>
      <c r="Q688">
        <v>617.70000000000005</v>
      </c>
      <c r="R688">
        <v>0</v>
      </c>
      <c r="S688">
        <v>64.204545454545496</v>
      </c>
      <c r="T688">
        <f t="shared" si="10"/>
        <v>0.64204545454545492</v>
      </c>
      <c r="U688" t="s">
        <v>221</v>
      </c>
      <c r="V688" t="s">
        <v>48</v>
      </c>
    </row>
    <row r="689" spans="1:22" x14ac:dyDescent="0.25">
      <c r="A689">
        <v>688</v>
      </c>
      <c r="B689" t="s">
        <v>217</v>
      </c>
      <c r="C689" s="2">
        <v>43396</v>
      </c>
      <c r="D689" t="s">
        <v>37</v>
      </c>
      <c r="F689" t="s">
        <v>39</v>
      </c>
      <c r="G689">
        <v>20</v>
      </c>
      <c r="H689" t="s">
        <v>265</v>
      </c>
      <c r="I689" t="s">
        <v>266</v>
      </c>
      <c r="J689" t="s">
        <v>42</v>
      </c>
      <c r="K689" t="s">
        <v>267</v>
      </c>
      <c r="L689" t="s">
        <v>268</v>
      </c>
      <c r="M689" t="s">
        <v>45</v>
      </c>
      <c r="N689" t="s">
        <v>257</v>
      </c>
      <c r="O689">
        <v>99</v>
      </c>
      <c r="P689">
        <v>56.880733944954102</v>
      </c>
      <c r="Q689">
        <v>482.2</v>
      </c>
      <c r="R689">
        <v>1</v>
      </c>
      <c r="S689">
        <v>86.449399656946795</v>
      </c>
      <c r="T689">
        <f t="shared" si="10"/>
        <v>0.8644939965694679</v>
      </c>
      <c r="U689" t="s">
        <v>221</v>
      </c>
      <c r="V689" t="s">
        <v>48</v>
      </c>
    </row>
    <row r="690" spans="1:22" x14ac:dyDescent="0.25">
      <c r="A690">
        <v>689</v>
      </c>
      <c r="B690" t="s">
        <v>217</v>
      </c>
      <c r="C690" s="2">
        <v>43396</v>
      </c>
      <c r="D690" t="s">
        <v>37</v>
      </c>
      <c r="F690" t="s">
        <v>39</v>
      </c>
      <c r="G690">
        <v>20</v>
      </c>
      <c r="H690" t="s">
        <v>269</v>
      </c>
      <c r="I690" t="s">
        <v>270</v>
      </c>
      <c r="J690" t="s">
        <v>42</v>
      </c>
      <c r="K690" t="s">
        <v>271</v>
      </c>
      <c r="L690" t="s">
        <v>111</v>
      </c>
      <c r="M690" t="s">
        <v>45</v>
      </c>
      <c r="N690" t="s">
        <v>257</v>
      </c>
      <c r="O690">
        <v>48</v>
      </c>
      <c r="P690">
        <v>63.559322033898297</v>
      </c>
      <c r="Q690">
        <v>715</v>
      </c>
      <c r="R690">
        <v>0</v>
      </c>
      <c r="S690">
        <v>63.0350194552529</v>
      </c>
      <c r="T690">
        <f t="shared" si="10"/>
        <v>0.63035019455252905</v>
      </c>
      <c r="U690" t="s">
        <v>221</v>
      </c>
      <c r="V690" t="s">
        <v>48</v>
      </c>
    </row>
    <row r="691" spans="1:22" x14ac:dyDescent="0.25">
      <c r="A691">
        <v>690</v>
      </c>
      <c r="B691" t="s">
        <v>217</v>
      </c>
      <c r="C691" s="2">
        <v>43396</v>
      </c>
      <c r="D691" t="s">
        <v>37</v>
      </c>
      <c r="F691" t="s">
        <v>39</v>
      </c>
      <c r="G691">
        <v>20</v>
      </c>
      <c r="H691" t="s">
        <v>272</v>
      </c>
      <c r="I691" t="s">
        <v>273</v>
      </c>
      <c r="J691" t="s">
        <v>42</v>
      </c>
      <c r="K691" t="s">
        <v>274</v>
      </c>
      <c r="L691" t="s">
        <v>275</v>
      </c>
      <c r="M691" t="s">
        <v>101</v>
      </c>
      <c r="N691" t="s">
        <v>257</v>
      </c>
      <c r="O691">
        <v>50</v>
      </c>
      <c r="P691">
        <v>76.991150442477903</v>
      </c>
      <c r="Q691">
        <v>661.5</v>
      </c>
      <c r="R691">
        <v>0</v>
      </c>
      <c r="S691">
        <v>55.158069883527503</v>
      </c>
      <c r="T691">
        <f t="shared" si="10"/>
        <v>0.55158069883527505</v>
      </c>
      <c r="U691" t="s">
        <v>221</v>
      </c>
      <c r="V691" t="s">
        <v>48</v>
      </c>
    </row>
    <row r="692" spans="1:22" x14ac:dyDescent="0.25">
      <c r="A692">
        <v>691</v>
      </c>
      <c r="B692" t="s">
        <v>217</v>
      </c>
      <c r="C692" s="2">
        <v>43396</v>
      </c>
      <c r="D692" t="s">
        <v>37</v>
      </c>
      <c r="F692" t="s">
        <v>39</v>
      </c>
      <c r="G692">
        <v>20</v>
      </c>
      <c r="H692" t="s">
        <v>276</v>
      </c>
      <c r="I692" t="s">
        <v>277</v>
      </c>
      <c r="J692" t="s">
        <v>42</v>
      </c>
      <c r="K692" t="s">
        <v>278</v>
      </c>
      <c r="L692" t="s">
        <v>177</v>
      </c>
      <c r="M692" t="s">
        <v>101</v>
      </c>
      <c r="N692" t="s">
        <v>257</v>
      </c>
      <c r="O692">
        <v>28</v>
      </c>
      <c r="P692">
        <v>46.739130434782602</v>
      </c>
      <c r="Q692">
        <v>535.6</v>
      </c>
      <c r="R692">
        <v>0</v>
      </c>
      <c r="S692">
        <v>63.407821229050299</v>
      </c>
      <c r="T692">
        <f t="shared" si="10"/>
        <v>0.63407821229050298</v>
      </c>
      <c r="U692" t="s">
        <v>221</v>
      </c>
      <c r="V692" t="s">
        <v>48</v>
      </c>
    </row>
    <row r="693" spans="1:22" x14ac:dyDescent="0.25">
      <c r="A693">
        <v>692</v>
      </c>
      <c r="B693" t="s">
        <v>217</v>
      </c>
      <c r="C693" s="2">
        <v>43396</v>
      </c>
      <c r="D693" t="s">
        <v>37</v>
      </c>
      <c r="F693" t="s">
        <v>39</v>
      </c>
      <c r="G693">
        <v>20</v>
      </c>
      <c r="H693" t="s">
        <v>279</v>
      </c>
      <c r="I693" t="s">
        <v>280</v>
      </c>
      <c r="J693" t="s">
        <v>42</v>
      </c>
      <c r="K693" t="s">
        <v>281</v>
      </c>
      <c r="L693" t="s">
        <v>177</v>
      </c>
      <c r="M693" t="s">
        <v>45</v>
      </c>
      <c r="N693" t="s">
        <v>257</v>
      </c>
      <c r="O693">
        <v>65</v>
      </c>
      <c r="P693">
        <v>66.6666666666667</v>
      </c>
      <c r="Q693">
        <v>490.4</v>
      </c>
      <c r="R693">
        <v>1</v>
      </c>
      <c r="S693">
        <v>53.395061728395</v>
      </c>
      <c r="T693">
        <f t="shared" si="10"/>
        <v>0.53395061728394999</v>
      </c>
      <c r="U693" t="s">
        <v>221</v>
      </c>
      <c r="V693" t="s">
        <v>48</v>
      </c>
    </row>
    <row r="694" spans="1:22" x14ac:dyDescent="0.25">
      <c r="A694">
        <v>693</v>
      </c>
      <c r="B694" t="s">
        <v>217</v>
      </c>
      <c r="C694" s="2">
        <v>43396</v>
      </c>
      <c r="D694" t="s">
        <v>37</v>
      </c>
      <c r="F694" t="s">
        <v>39</v>
      </c>
      <c r="G694">
        <v>20</v>
      </c>
      <c r="H694" t="s">
        <v>282</v>
      </c>
      <c r="I694" t="s">
        <v>283</v>
      </c>
      <c r="J694" t="s">
        <v>42</v>
      </c>
      <c r="K694" t="s">
        <v>284</v>
      </c>
      <c r="L694" t="s">
        <v>285</v>
      </c>
      <c r="M694" t="s">
        <v>101</v>
      </c>
      <c r="N694" t="s">
        <v>257</v>
      </c>
      <c r="O694">
        <v>67</v>
      </c>
      <c r="P694">
        <v>65.060240963855406</v>
      </c>
      <c r="Q694">
        <v>559.9</v>
      </c>
      <c r="R694">
        <v>0</v>
      </c>
      <c r="S694">
        <v>56.727574750830598</v>
      </c>
      <c r="T694">
        <f t="shared" si="10"/>
        <v>0.56727574750830601</v>
      </c>
      <c r="U694" t="s">
        <v>221</v>
      </c>
      <c r="V694" t="s">
        <v>48</v>
      </c>
    </row>
    <row r="695" spans="1:22" x14ac:dyDescent="0.25">
      <c r="A695">
        <v>694</v>
      </c>
      <c r="B695" t="s">
        <v>217</v>
      </c>
      <c r="C695" s="2">
        <v>43396</v>
      </c>
      <c r="D695" t="s">
        <v>37</v>
      </c>
      <c r="F695" t="s">
        <v>39</v>
      </c>
      <c r="G695">
        <v>20</v>
      </c>
      <c r="H695" t="s">
        <v>286</v>
      </c>
      <c r="I695" t="s">
        <v>287</v>
      </c>
      <c r="J695" t="s">
        <v>42</v>
      </c>
      <c r="K695" t="s">
        <v>288</v>
      </c>
      <c r="L695" t="s">
        <v>289</v>
      </c>
      <c r="M695" t="s">
        <v>45</v>
      </c>
      <c r="N695" t="s">
        <v>257</v>
      </c>
      <c r="O695">
        <v>27</v>
      </c>
      <c r="P695">
        <v>83.743842364532</v>
      </c>
      <c r="Q695">
        <v>753.3</v>
      </c>
      <c r="R695">
        <v>0</v>
      </c>
      <c r="S695">
        <v>58.093903293623001</v>
      </c>
      <c r="T695">
        <f t="shared" si="10"/>
        <v>0.58093903293623006</v>
      </c>
      <c r="U695" t="s">
        <v>221</v>
      </c>
      <c r="V695" t="s">
        <v>48</v>
      </c>
    </row>
    <row r="696" spans="1:22" x14ac:dyDescent="0.25">
      <c r="A696">
        <v>695</v>
      </c>
      <c r="B696" t="s">
        <v>217</v>
      </c>
      <c r="C696" s="2">
        <v>43396</v>
      </c>
      <c r="D696" t="s">
        <v>37</v>
      </c>
      <c r="F696" t="s">
        <v>39</v>
      </c>
      <c r="G696">
        <v>20</v>
      </c>
      <c r="H696" t="s">
        <v>290</v>
      </c>
      <c r="I696" t="s">
        <v>291</v>
      </c>
      <c r="J696" t="s">
        <v>42</v>
      </c>
      <c r="K696" t="s">
        <v>292</v>
      </c>
      <c r="L696" t="s">
        <v>293</v>
      </c>
      <c r="M696" t="s">
        <v>101</v>
      </c>
      <c r="N696" t="s">
        <v>294</v>
      </c>
      <c r="O696">
        <v>18</v>
      </c>
      <c r="P696">
        <v>71.875</v>
      </c>
      <c r="Q696">
        <v>660.7</v>
      </c>
      <c r="R696">
        <v>0</v>
      </c>
      <c r="S696">
        <v>46.351931330472098</v>
      </c>
      <c r="T696">
        <f t="shared" si="10"/>
        <v>0.46351931330472096</v>
      </c>
      <c r="U696" t="s">
        <v>221</v>
      </c>
      <c r="V696" t="s">
        <v>295</v>
      </c>
    </row>
    <row r="697" spans="1:22" x14ac:dyDescent="0.25">
      <c r="A697">
        <v>696</v>
      </c>
      <c r="B697" t="s">
        <v>217</v>
      </c>
      <c r="C697" s="2">
        <v>43396</v>
      </c>
      <c r="D697" t="s">
        <v>37</v>
      </c>
      <c r="F697" t="s">
        <v>39</v>
      </c>
      <c r="G697">
        <v>20</v>
      </c>
      <c r="H697" t="s">
        <v>296</v>
      </c>
      <c r="I697" t="s">
        <v>297</v>
      </c>
      <c r="J697" t="s">
        <v>42</v>
      </c>
      <c r="K697" t="s">
        <v>298</v>
      </c>
      <c r="L697" t="s">
        <v>293</v>
      </c>
      <c r="M697" t="s">
        <v>101</v>
      </c>
      <c r="N697" t="s">
        <v>294</v>
      </c>
      <c r="O697">
        <v>48</v>
      </c>
      <c r="P697">
        <v>63.934426229508198</v>
      </c>
      <c r="Q697">
        <v>415.1</v>
      </c>
      <c r="R697">
        <v>0</v>
      </c>
      <c r="S697">
        <v>77.24609375</v>
      </c>
      <c r="T697">
        <f t="shared" si="10"/>
        <v>0.7724609375</v>
      </c>
      <c r="U697" t="s">
        <v>221</v>
      </c>
      <c r="V697" t="s">
        <v>295</v>
      </c>
    </row>
    <row r="698" spans="1:22" x14ac:dyDescent="0.25">
      <c r="A698">
        <v>697</v>
      </c>
      <c r="B698" t="s">
        <v>217</v>
      </c>
      <c r="C698" s="2">
        <v>43396</v>
      </c>
      <c r="D698" t="s">
        <v>37</v>
      </c>
      <c r="F698" t="s">
        <v>39</v>
      </c>
      <c r="G698">
        <v>20</v>
      </c>
      <c r="H698" t="s">
        <v>299</v>
      </c>
      <c r="I698" t="s">
        <v>300</v>
      </c>
      <c r="J698" t="s">
        <v>42</v>
      </c>
      <c r="K698" t="s">
        <v>301</v>
      </c>
      <c r="L698" t="s">
        <v>302</v>
      </c>
      <c r="M698" t="s">
        <v>45</v>
      </c>
      <c r="N698" t="s">
        <v>294</v>
      </c>
      <c r="O698">
        <v>30</v>
      </c>
      <c r="P698">
        <v>71.6666666666667</v>
      </c>
      <c r="Q698">
        <v>719.2</v>
      </c>
      <c r="R698">
        <v>0</v>
      </c>
      <c r="S698">
        <v>48.857644991212702</v>
      </c>
      <c r="T698">
        <f t="shared" si="10"/>
        <v>0.48857644991212701</v>
      </c>
      <c r="U698" t="s">
        <v>221</v>
      </c>
      <c r="V698" t="s">
        <v>295</v>
      </c>
    </row>
    <row r="699" spans="1:22" x14ac:dyDescent="0.25">
      <c r="A699">
        <v>698</v>
      </c>
      <c r="B699" t="s">
        <v>217</v>
      </c>
      <c r="C699" s="2">
        <v>43396</v>
      </c>
      <c r="D699" t="s">
        <v>37</v>
      </c>
      <c r="F699" t="s">
        <v>39</v>
      </c>
      <c r="G699">
        <v>20</v>
      </c>
      <c r="H699" t="s">
        <v>303</v>
      </c>
      <c r="I699" t="s">
        <v>304</v>
      </c>
      <c r="J699" t="s">
        <v>42</v>
      </c>
      <c r="K699" t="s">
        <v>305</v>
      </c>
      <c r="L699" t="s">
        <v>250</v>
      </c>
      <c r="M699" t="s">
        <v>101</v>
      </c>
      <c r="N699" t="s">
        <v>294</v>
      </c>
      <c r="O699">
        <v>30</v>
      </c>
      <c r="P699">
        <v>65.909090909090907</v>
      </c>
      <c r="Q699">
        <v>581.20000000000005</v>
      </c>
      <c r="R699">
        <v>0</v>
      </c>
      <c r="S699">
        <v>48.425787106446798</v>
      </c>
      <c r="T699">
        <f t="shared" si="10"/>
        <v>0.48425787106446799</v>
      </c>
      <c r="U699" t="s">
        <v>221</v>
      </c>
      <c r="V699" t="s">
        <v>295</v>
      </c>
    </row>
    <row r="700" spans="1:22" x14ac:dyDescent="0.25">
      <c r="A700">
        <v>699</v>
      </c>
      <c r="B700" t="s">
        <v>217</v>
      </c>
      <c r="C700" s="2">
        <v>43396</v>
      </c>
      <c r="D700" t="s">
        <v>37</v>
      </c>
      <c r="F700" t="s">
        <v>39</v>
      </c>
      <c r="G700">
        <v>20</v>
      </c>
      <c r="H700" t="s">
        <v>306</v>
      </c>
      <c r="I700" t="s">
        <v>307</v>
      </c>
      <c r="J700" t="s">
        <v>42</v>
      </c>
      <c r="K700" t="s">
        <v>308</v>
      </c>
      <c r="L700" t="s">
        <v>250</v>
      </c>
      <c r="M700" t="s">
        <v>101</v>
      </c>
      <c r="N700" t="s">
        <v>294</v>
      </c>
      <c r="O700">
        <v>46</v>
      </c>
      <c r="P700">
        <v>85.106382978723403</v>
      </c>
      <c r="Q700">
        <v>656.5</v>
      </c>
      <c r="R700">
        <v>0</v>
      </c>
      <c r="S700">
        <v>62.008733624454202</v>
      </c>
      <c r="T700">
        <f t="shared" si="10"/>
        <v>0.62008733624454204</v>
      </c>
      <c r="U700" t="s">
        <v>221</v>
      </c>
      <c r="V700" t="s">
        <v>295</v>
      </c>
    </row>
    <row r="701" spans="1:22" x14ac:dyDescent="0.25">
      <c r="A701">
        <v>700</v>
      </c>
      <c r="B701" t="s">
        <v>217</v>
      </c>
      <c r="C701" s="2">
        <v>43396</v>
      </c>
      <c r="D701" t="s">
        <v>37</v>
      </c>
      <c r="F701" t="s">
        <v>39</v>
      </c>
      <c r="G701">
        <v>20</v>
      </c>
      <c r="H701" t="s">
        <v>309</v>
      </c>
      <c r="I701" t="s">
        <v>310</v>
      </c>
      <c r="J701" t="s">
        <v>42</v>
      </c>
      <c r="K701" t="s">
        <v>311</v>
      </c>
      <c r="L701" t="s">
        <v>250</v>
      </c>
      <c r="M701" t="s">
        <v>101</v>
      </c>
      <c r="N701" t="s">
        <v>294</v>
      </c>
      <c r="O701">
        <v>24</v>
      </c>
      <c r="P701">
        <v>70.588235294117695</v>
      </c>
      <c r="Q701">
        <v>572.79999999999995</v>
      </c>
      <c r="R701">
        <v>0</v>
      </c>
      <c r="S701">
        <v>50.346020761245697</v>
      </c>
      <c r="T701">
        <f t="shared" si="10"/>
        <v>0.50346020761245702</v>
      </c>
      <c r="U701" t="s">
        <v>221</v>
      </c>
      <c r="V701" t="s">
        <v>295</v>
      </c>
    </row>
    <row r="702" spans="1:22" x14ac:dyDescent="0.25">
      <c r="A702">
        <v>701</v>
      </c>
      <c r="B702" t="s">
        <v>217</v>
      </c>
      <c r="C702" s="2">
        <v>43396</v>
      </c>
      <c r="D702" t="s">
        <v>37</v>
      </c>
      <c r="F702" t="s">
        <v>39</v>
      </c>
      <c r="G702">
        <v>20</v>
      </c>
      <c r="H702" t="s">
        <v>312</v>
      </c>
      <c r="I702" t="s">
        <v>313</v>
      </c>
      <c r="J702" t="s">
        <v>42</v>
      </c>
      <c r="K702" t="s">
        <v>314</v>
      </c>
      <c r="L702" t="s">
        <v>250</v>
      </c>
      <c r="M702" t="s">
        <v>101</v>
      </c>
      <c r="N702" t="s">
        <v>294</v>
      </c>
      <c r="O702">
        <v>35</v>
      </c>
      <c r="P702">
        <v>81.25</v>
      </c>
      <c r="Q702">
        <v>688.3</v>
      </c>
      <c r="R702">
        <v>0</v>
      </c>
      <c r="S702">
        <v>43.429844097995499</v>
      </c>
      <c r="T702">
        <f t="shared" si="10"/>
        <v>0.43429844097995501</v>
      </c>
      <c r="U702" t="s">
        <v>221</v>
      </c>
      <c r="V702" t="s">
        <v>295</v>
      </c>
    </row>
    <row r="703" spans="1:22" x14ac:dyDescent="0.25">
      <c r="A703">
        <v>702</v>
      </c>
      <c r="B703" t="s">
        <v>217</v>
      </c>
      <c r="C703" s="2">
        <v>43396</v>
      </c>
      <c r="D703" t="s">
        <v>37</v>
      </c>
      <c r="F703" t="s">
        <v>39</v>
      </c>
      <c r="G703">
        <v>20</v>
      </c>
      <c r="H703" t="s">
        <v>315</v>
      </c>
      <c r="I703" t="s">
        <v>316</v>
      </c>
      <c r="J703" t="s">
        <v>42</v>
      </c>
      <c r="K703" t="s">
        <v>317</v>
      </c>
      <c r="L703" t="s">
        <v>185</v>
      </c>
      <c r="M703" t="s">
        <v>101</v>
      </c>
      <c r="N703" t="s">
        <v>294</v>
      </c>
      <c r="O703">
        <v>21</v>
      </c>
      <c r="P703">
        <v>61.702127659574501</v>
      </c>
      <c r="Q703">
        <v>554.1</v>
      </c>
      <c r="R703">
        <v>0</v>
      </c>
      <c r="S703">
        <v>31.230283911671901</v>
      </c>
      <c r="T703">
        <f t="shared" si="10"/>
        <v>0.31230283911671902</v>
      </c>
      <c r="U703" t="s">
        <v>221</v>
      </c>
      <c r="V703" t="s">
        <v>295</v>
      </c>
    </row>
    <row r="704" spans="1:22" x14ac:dyDescent="0.25">
      <c r="A704">
        <v>703</v>
      </c>
      <c r="B704" t="s">
        <v>217</v>
      </c>
      <c r="C704" s="2">
        <v>43396</v>
      </c>
      <c r="D704" t="s">
        <v>37</v>
      </c>
      <c r="F704" t="s">
        <v>39</v>
      </c>
      <c r="G704">
        <v>20</v>
      </c>
      <c r="H704" t="s">
        <v>318</v>
      </c>
      <c r="I704" t="s">
        <v>319</v>
      </c>
      <c r="J704" t="s">
        <v>109</v>
      </c>
      <c r="K704" t="s">
        <v>320</v>
      </c>
      <c r="L704" t="s">
        <v>185</v>
      </c>
      <c r="M704" t="s">
        <v>101</v>
      </c>
      <c r="N704" t="s">
        <v>294</v>
      </c>
      <c r="O704">
        <v>18</v>
      </c>
      <c r="P704">
        <v>48.275862068965502</v>
      </c>
      <c r="Q704">
        <v>555.29999999999995</v>
      </c>
      <c r="R704">
        <v>0</v>
      </c>
      <c r="S704">
        <v>51.788756388415699</v>
      </c>
      <c r="T704">
        <f t="shared" si="10"/>
        <v>0.51788756388415702</v>
      </c>
      <c r="U704" t="s">
        <v>221</v>
      </c>
      <c r="V704" t="s">
        <v>295</v>
      </c>
    </row>
    <row r="705" spans="1:22" x14ac:dyDescent="0.25">
      <c r="A705">
        <v>704</v>
      </c>
      <c r="B705" t="s">
        <v>217</v>
      </c>
      <c r="C705" s="2">
        <v>43411</v>
      </c>
      <c r="D705" t="s">
        <v>37</v>
      </c>
      <c r="F705" t="s">
        <v>39</v>
      </c>
      <c r="G705">
        <v>20</v>
      </c>
      <c r="H705" t="s">
        <v>321</v>
      </c>
      <c r="I705" t="s">
        <v>322</v>
      </c>
      <c r="J705" t="s">
        <v>42</v>
      </c>
      <c r="K705" t="s">
        <v>323</v>
      </c>
      <c r="L705" t="s">
        <v>185</v>
      </c>
      <c r="M705" t="s">
        <v>101</v>
      </c>
      <c r="N705" t="s">
        <v>294</v>
      </c>
      <c r="O705">
        <v>13</v>
      </c>
      <c r="P705">
        <v>93.918918918918905</v>
      </c>
      <c r="Q705">
        <v>734.5</v>
      </c>
      <c r="R705">
        <v>0</v>
      </c>
      <c r="S705">
        <v>52.359208523592102</v>
      </c>
      <c r="T705">
        <f t="shared" si="10"/>
        <v>0.52359208523592105</v>
      </c>
      <c r="U705" t="s">
        <v>221</v>
      </c>
      <c r="V705" t="s">
        <v>295</v>
      </c>
    </row>
    <row r="706" spans="1:22" x14ac:dyDescent="0.25">
      <c r="A706">
        <v>705</v>
      </c>
      <c r="B706" t="s">
        <v>217</v>
      </c>
      <c r="C706" s="2">
        <v>43411</v>
      </c>
      <c r="D706" t="s">
        <v>37</v>
      </c>
      <c r="F706" t="s">
        <v>39</v>
      </c>
      <c r="G706">
        <v>21</v>
      </c>
      <c r="H706" t="s">
        <v>218</v>
      </c>
      <c r="I706" t="s">
        <v>219</v>
      </c>
      <c r="J706" t="s">
        <v>42</v>
      </c>
      <c r="K706" t="s">
        <v>220</v>
      </c>
      <c r="L706" t="s">
        <v>44</v>
      </c>
      <c r="M706" t="s">
        <v>45</v>
      </c>
      <c r="N706" t="s">
        <v>46</v>
      </c>
      <c r="O706">
        <v>12</v>
      </c>
      <c r="P706">
        <v>74.647887323943706</v>
      </c>
      <c r="Q706">
        <v>599.70000000000005</v>
      </c>
      <c r="R706">
        <v>0</v>
      </c>
      <c r="S706">
        <v>50.796178343949002</v>
      </c>
      <c r="T706">
        <f t="shared" si="10"/>
        <v>0.50796178343949006</v>
      </c>
      <c r="U706" t="s">
        <v>221</v>
      </c>
      <c r="V706" t="s">
        <v>48</v>
      </c>
    </row>
    <row r="707" spans="1:22" x14ac:dyDescent="0.25">
      <c r="A707">
        <v>706</v>
      </c>
      <c r="B707" t="s">
        <v>217</v>
      </c>
      <c r="C707" s="2">
        <v>43411</v>
      </c>
      <c r="D707" t="s">
        <v>37</v>
      </c>
      <c r="F707" t="s">
        <v>39</v>
      </c>
      <c r="G707">
        <v>21</v>
      </c>
      <c r="H707" t="s">
        <v>222</v>
      </c>
      <c r="I707" t="s">
        <v>223</v>
      </c>
      <c r="J707" t="s">
        <v>42</v>
      </c>
      <c r="K707" t="s">
        <v>224</v>
      </c>
      <c r="L707" t="s">
        <v>225</v>
      </c>
      <c r="M707" t="s">
        <v>45</v>
      </c>
      <c r="N707" t="s">
        <v>46</v>
      </c>
      <c r="O707">
        <v>39</v>
      </c>
      <c r="P707">
        <v>36.363636363636402</v>
      </c>
      <c r="Q707">
        <v>506.7</v>
      </c>
      <c r="R707">
        <v>0</v>
      </c>
      <c r="S707">
        <v>57.3333333333333</v>
      </c>
      <c r="T707">
        <f t="shared" ref="T707:T770" si="11">S707/100</f>
        <v>0.57333333333333303</v>
      </c>
      <c r="U707" t="s">
        <v>221</v>
      </c>
      <c r="V707" t="s">
        <v>48</v>
      </c>
    </row>
    <row r="708" spans="1:22" x14ac:dyDescent="0.25">
      <c r="A708">
        <v>707</v>
      </c>
      <c r="B708" t="s">
        <v>217</v>
      </c>
      <c r="C708" s="2">
        <v>43411</v>
      </c>
      <c r="D708" t="s">
        <v>37</v>
      </c>
      <c r="F708" t="s">
        <v>39</v>
      </c>
      <c r="G708">
        <v>21</v>
      </c>
      <c r="H708" t="s">
        <v>226</v>
      </c>
      <c r="I708" t="s">
        <v>227</v>
      </c>
      <c r="J708" t="s">
        <v>42</v>
      </c>
      <c r="K708" t="s">
        <v>228</v>
      </c>
      <c r="L708" t="s">
        <v>225</v>
      </c>
      <c r="M708" t="s">
        <v>45</v>
      </c>
      <c r="N708" t="s">
        <v>46</v>
      </c>
      <c r="O708">
        <v>40</v>
      </c>
      <c r="P708">
        <v>42.857142857142797</v>
      </c>
      <c r="Q708">
        <v>489.3</v>
      </c>
      <c r="R708">
        <v>0</v>
      </c>
      <c r="S708">
        <v>68.387096774193594</v>
      </c>
      <c r="T708">
        <f t="shared" si="11"/>
        <v>0.6838709677419359</v>
      </c>
      <c r="U708" t="s">
        <v>221</v>
      </c>
      <c r="V708" t="s">
        <v>48</v>
      </c>
    </row>
    <row r="709" spans="1:22" x14ac:dyDescent="0.25">
      <c r="A709">
        <v>708</v>
      </c>
      <c r="B709" t="s">
        <v>217</v>
      </c>
      <c r="C709" s="2">
        <v>43411</v>
      </c>
      <c r="D709" t="s">
        <v>37</v>
      </c>
      <c r="F709" t="s">
        <v>39</v>
      </c>
      <c r="G709">
        <v>21</v>
      </c>
      <c r="H709" t="s">
        <v>229</v>
      </c>
      <c r="I709" t="s">
        <v>230</v>
      </c>
      <c r="J709" t="s">
        <v>42</v>
      </c>
      <c r="K709" t="s">
        <v>231</v>
      </c>
      <c r="L709" t="s">
        <v>232</v>
      </c>
      <c r="M709" t="s">
        <v>45</v>
      </c>
      <c r="N709" t="s">
        <v>46</v>
      </c>
      <c r="O709">
        <v>51</v>
      </c>
      <c r="P709">
        <v>81.196581196581207</v>
      </c>
      <c r="Q709">
        <v>590.1</v>
      </c>
      <c r="R709">
        <v>0</v>
      </c>
      <c r="S709">
        <v>51.175656984785597</v>
      </c>
      <c r="T709">
        <f t="shared" si="11"/>
        <v>0.511756569847856</v>
      </c>
      <c r="U709" t="s">
        <v>221</v>
      </c>
      <c r="V709" t="s">
        <v>48</v>
      </c>
    </row>
    <row r="710" spans="1:22" x14ac:dyDescent="0.25">
      <c r="A710">
        <v>709</v>
      </c>
      <c r="B710" t="s">
        <v>217</v>
      </c>
      <c r="C710" s="2">
        <v>43411</v>
      </c>
      <c r="D710" t="s">
        <v>37</v>
      </c>
      <c r="F710" t="s">
        <v>39</v>
      </c>
      <c r="G710">
        <v>21</v>
      </c>
      <c r="H710" t="s">
        <v>233</v>
      </c>
      <c r="I710" t="s">
        <v>234</v>
      </c>
      <c r="J710" t="s">
        <v>42</v>
      </c>
      <c r="K710" t="s">
        <v>235</v>
      </c>
      <c r="L710" t="s">
        <v>232</v>
      </c>
      <c r="M710" t="s">
        <v>45</v>
      </c>
      <c r="N710" t="s">
        <v>46</v>
      </c>
      <c r="O710">
        <v>10</v>
      </c>
      <c r="P710">
        <v>76.223776223776198</v>
      </c>
      <c r="Q710">
        <v>533.6</v>
      </c>
      <c r="R710">
        <v>0</v>
      </c>
      <c r="S710">
        <v>60.066740823136797</v>
      </c>
      <c r="T710">
        <f t="shared" si="11"/>
        <v>0.60066740823136799</v>
      </c>
      <c r="U710" t="s">
        <v>221</v>
      </c>
      <c r="V710" t="s">
        <v>48</v>
      </c>
    </row>
    <row r="711" spans="1:22" x14ac:dyDescent="0.25">
      <c r="A711">
        <v>710</v>
      </c>
      <c r="B711" t="s">
        <v>217</v>
      </c>
      <c r="C711" s="2">
        <v>43411</v>
      </c>
      <c r="D711" t="s">
        <v>37</v>
      </c>
      <c r="F711" t="s">
        <v>39</v>
      </c>
      <c r="G711">
        <v>21</v>
      </c>
      <c r="H711" t="s">
        <v>236</v>
      </c>
      <c r="I711" t="s">
        <v>237</v>
      </c>
      <c r="J711" t="s">
        <v>42</v>
      </c>
      <c r="K711" t="s">
        <v>238</v>
      </c>
      <c r="L711" t="s">
        <v>239</v>
      </c>
      <c r="M711" t="s">
        <v>45</v>
      </c>
      <c r="N711" t="s">
        <v>46</v>
      </c>
      <c r="O711">
        <v>17</v>
      </c>
      <c r="P711">
        <v>85.517241379310306</v>
      </c>
      <c r="Q711">
        <v>788.8</v>
      </c>
      <c r="R711">
        <v>0</v>
      </c>
      <c r="S711">
        <v>45.627802690583003</v>
      </c>
      <c r="T711">
        <f t="shared" si="11"/>
        <v>0.45627802690583003</v>
      </c>
      <c r="U711" t="s">
        <v>221</v>
      </c>
      <c r="V711" t="s">
        <v>48</v>
      </c>
    </row>
    <row r="712" spans="1:22" x14ac:dyDescent="0.25">
      <c r="A712">
        <v>711</v>
      </c>
      <c r="B712" t="s">
        <v>217</v>
      </c>
      <c r="C712" s="2">
        <v>43411</v>
      </c>
      <c r="D712" t="s">
        <v>37</v>
      </c>
      <c r="F712" t="s">
        <v>39</v>
      </c>
      <c r="G712">
        <v>21</v>
      </c>
      <c r="H712" t="s">
        <v>240</v>
      </c>
      <c r="I712" t="s">
        <v>241</v>
      </c>
      <c r="J712" t="s">
        <v>42</v>
      </c>
      <c r="K712" t="s">
        <v>242</v>
      </c>
      <c r="L712" t="s">
        <v>111</v>
      </c>
      <c r="M712" t="s">
        <v>45</v>
      </c>
      <c r="N712" t="s">
        <v>46</v>
      </c>
      <c r="O712">
        <v>15</v>
      </c>
      <c r="P712">
        <v>78.260869565217405</v>
      </c>
      <c r="Q712">
        <v>420.6</v>
      </c>
      <c r="R712">
        <v>0</v>
      </c>
      <c r="S712">
        <v>41.509433962264197</v>
      </c>
      <c r="T712">
        <f t="shared" si="11"/>
        <v>0.41509433962264197</v>
      </c>
      <c r="U712" t="s">
        <v>221</v>
      </c>
      <c r="V712" t="s">
        <v>48</v>
      </c>
    </row>
    <row r="713" spans="1:22" x14ac:dyDescent="0.25">
      <c r="A713">
        <v>712</v>
      </c>
      <c r="B713" t="s">
        <v>217</v>
      </c>
      <c r="C713" s="2">
        <v>43411</v>
      </c>
      <c r="D713" t="s">
        <v>37</v>
      </c>
      <c r="F713" t="s">
        <v>39</v>
      </c>
      <c r="G713">
        <v>21</v>
      </c>
      <c r="H713" t="s">
        <v>243</v>
      </c>
      <c r="I713" t="s">
        <v>244</v>
      </c>
      <c r="J713" t="s">
        <v>42</v>
      </c>
      <c r="K713" t="s">
        <v>245</v>
      </c>
      <c r="L713" t="s">
        <v>246</v>
      </c>
      <c r="M713" t="s">
        <v>45</v>
      </c>
      <c r="N713" t="s">
        <v>46</v>
      </c>
      <c r="O713">
        <v>61</v>
      </c>
      <c r="P713">
        <v>48.780487804878</v>
      </c>
      <c r="Q713">
        <v>471.7</v>
      </c>
      <c r="R713">
        <v>0</v>
      </c>
      <c r="S713">
        <v>66.449511400651502</v>
      </c>
      <c r="T713">
        <f t="shared" si="11"/>
        <v>0.66449511400651506</v>
      </c>
      <c r="U713" t="s">
        <v>221</v>
      </c>
      <c r="V713" t="s">
        <v>48</v>
      </c>
    </row>
    <row r="714" spans="1:22" x14ac:dyDescent="0.25">
      <c r="A714">
        <v>713</v>
      </c>
      <c r="B714" t="s">
        <v>217</v>
      </c>
      <c r="C714" s="2">
        <v>43411</v>
      </c>
      <c r="D714" t="s">
        <v>37</v>
      </c>
      <c r="F714" t="s">
        <v>39</v>
      </c>
      <c r="G714">
        <v>21</v>
      </c>
      <c r="H714" t="s">
        <v>247</v>
      </c>
      <c r="I714" t="s">
        <v>248</v>
      </c>
      <c r="J714" t="s">
        <v>42</v>
      </c>
      <c r="K714" t="s">
        <v>249</v>
      </c>
      <c r="L714" t="s">
        <v>250</v>
      </c>
      <c r="M714" t="s">
        <v>45</v>
      </c>
      <c r="N714" t="s">
        <v>46</v>
      </c>
      <c r="O714">
        <v>120</v>
      </c>
      <c r="P714">
        <v>75.280898876404507</v>
      </c>
      <c r="Q714">
        <v>776.1</v>
      </c>
      <c r="R714">
        <v>1</v>
      </c>
      <c r="S714">
        <v>62.721088435374099</v>
      </c>
      <c r="T714">
        <f t="shared" si="11"/>
        <v>0.62721088435374095</v>
      </c>
      <c r="U714" t="s">
        <v>221</v>
      </c>
      <c r="V714" t="s">
        <v>48</v>
      </c>
    </row>
    <row r="715" spans="1:22" x14ac:dyDescent="0.25">
      <c r="A715">
        <v>714</v>
      </c>
      <c r="B715" t="s">
        <v>217</v>
      </c>
      <c r="C715" s="2">
        <v>43411</v>
      </c>
      <c r="D715" t="s">
        <v>37</v>
      </c>
      <c r="F715" t="s">
        <v>39</v>
      </c>
      <c r="G715">
        <v>20</v>
      </c>
      <c r="H715" t="s">
        <v>251</v>
      </c>
      <c r="I715" t="s">
        <v>252</v>
      </c>
      <c r="J715" t="s">
        <v>42</v>
      </c>
      <c r="K715" t="s">
        <v>253</v>
      </c>
      <c r="L715" t="s">
        <v>59</v>
      </c>
      <c r="M715" t="s">
        <v>45</v>
      </c>
      <c r="N715" t="s">
        <v>46</v>
      </c>
      <c r="O715">
        <v>54</v>
      </c>
      <c r="P715">
        <v>53.448275862069003</v>
      </c>
      <c r="Q715">
        <v>517.29999999999995</v>
      </c>
      <c r="R715">
        <v>0</v>
      </c>
      <c r="S715">
        <v>57.402597402597401</v>
      </c>
      <c r="T715">
        <f t="shared" si="11"/>
        <v>0.574025974025974</v>
      </c>
      <c r="U715" t="s">
        <v>221</v>
      </c>
      <c r="V715" t="s">
        <v>48</v>
      </c>
    </row>
    <row r="716" spans="1:22" x14ac:dyDescent="0.25">
      <c r="A716">
        <v>715</v>
      </c>
      <c r="B716" t="s">
        <v>217</v>
      </c>
      <c r="C716" s="2">
        <v>43411</v>
      </c>
      <c r="D716" t="s">
        <v>37</v>
      </c>
      <c r="F716" t="s">
        <v>39</v>
      </c>
      <c r="G716">
        <v>21</v>
      </c>
      <c r="H716" t="s">
        <v>254</v>
      </c>
      <c r="I716" t="s">
        <v>255</v>
      </c>
      <c r="J716" t="s">
        <v>42</v>
      </c>
      <c r="K716" t="s">
        <v>256</v>
      </c>
      <c r="L716" t="s">
        <v>177</v>
      </c>
      <c r="M716" t="s">
        <v>101</v>
      </c>
      <c r="N716" t="s">
        <v>257</v>
      </c>
      <c r="O716">
        <v>44</v>
      </c>
      <c r="P716">
        <v>80.952380952380906</v>
      </c>
      <c r="Q716">
        <v>542.6</v>
      </c>
      <c r="R716">
        <v>0</v>
      </c>
      <c r="S716">
        <v>52.917505030181097</v>
      </c>
      <c r="T716">
        <f t="shared" si="11"/>
        <v>0.529175050301811</v>
      </c>
      <c r="U716" t="s">
        <v>221</v>
      </c>
      <c r="V716" t="s">
        <v>48</v>
      </c>
    </row>
    <row r="717" spans="1:22" x14ac:dyDescent="0.25">
      <c r="A717">
        <v>716</v>
      </c>
      <c r="B717" t="s">
        <v>217</v>
      </c>
      <c r="C717" s="2">
        <v>43411</v>
      </c>
      <c r="D717" t="s">
        <v>37</v>
      </c>
      <c r="F717" t="s">
        <v>39</v>
      </c>
      <c r="G717">
        <v>21</v>
      </c>
      <c r="H717" t="s">
        <v>258</v>
      </c>
      <c r="I717" t="s">
        <v>259</v>
      </c>
      <c r="J717" t="s">
        <v>42</v>
      </c>
      <c r="K717" t="s">
        <v>260</v>
      </c>
      <c r="L717" t="s">
        <v>261</v>
      </c>
      <c r="M717" t="s">
        <v>45</v>
      </c>
      <c r="N717" t="s">
        <v>257</v>
      </c>
      <c r="O717">
        <v>120</v>
      </c>
      <c r="P717">
        <v>84.920634920634896</v>
      </c>
      <c r="Q717">
        <v>624.6</v>
      </c>
      <c r="R717">
        <v>1</v>
      </c>
      <c r="S717">
        <v>63.496376811594203</v>
      </c>
      <c r="T717">
        <f t="shared" si="11"/>
        <v>0.63496376811594202</v>
      </c>
      <c r="U717" t="s">
        <v>221</v>
      </c>
      <c r="V717" t="s">
        <v>48</v>
      </c>
    </row>
    <row r="718" spans="1:22" x14ac:dyDescent="0.25">
      <c r="A718">
        <v>717</v>
      </c>
      <c r="B718" t="s">
        <v>217</v>
      </c>
      <c r="C718" s="2">
        <v>43411</v>
      </c>
      <c r="D718" t="s">
        <v>37</v>
      </c>
      <c r="F718" t="s">
        <v>39</v>
      </c>
      <c r="G718">
        <v>21</v>
      </c>
      <c r="H718" t="s">
        <v>262</v>
      </c>
      <c r="I718" t="s">
        <v>263</v>
      </c>
      <c r="J718" t="s">
        <v>42</v>
      </c>
      <c r="K718" t="s">
        <v>264</v>
      </c>
      <c r="L718" t="s">
        <v>111</v>
      </c>
      <c r="M718" t="s">
        <v>101</v>
      </c>
      <c r="N718" t="s">
        <v>257</v>
      </c>
      <c r="O718">
        <v>120</v>
      </c>
      <c r="P718">
        <v>54.676258992805799</v>
      </c>
      <c r="Q718">
        <v>445.2</v>
      </c>
      <c r="R718">
        <v>1</v>
      </c>
      <c r="S718">
        <v>83.204419889502802</v>
      </c>
      <c r="T718">
        <f t="shared" si="11"/>
        <v>0.83204419889502801</v>
      </c>
      <c r="U718" t="s">
        <v>221</v>
      </c>
      <c r="V718" t="s">
        <v>48</v>
      </c>
    </row>
    <row r="719" spans="1:22" x14ac:dyDescent="0.25">
      <c r="A719">
        <v>718</v>
      </c>
      <c r="B719" t="s">
        <v>217</v>
      </c>
      <c r="C719" s="2">
        <v>43411</v>
      </c>
      <c r="D719" t="s">
        <v>37</v>
      </c>
      <c r="F719" t="s">
        <v>39</v>
      </c>
      <c r="G719">
        <v>21</v>
      </c>
      <c r="H719" t="s">
        <v>265</v>
      </c>
      <c r="I719" t="s">
        <v>266</v>
      </c>
      <c r="J719" t="s">
        <v>42</v>
      </c>
      <c r="K719" t="s">
        <v>267</v>
      </c>
      <c r="L719" t="s">
        <v>268</v>
      </c>
      <c r="M719" t="s">
        <v>45</v>
      </c>
      <c r="N719" t="s">
        <v>257</v>
      </c>
      <c r="O719">
        <v>120</v>
      </c>
      <c r="P719">
        <v>57.792207792207797</v>
      </c>
      <c r="Q719">
        <v>543.20000000000005</v>
      </c>
      <c r="R719">
        <v>1</v>
      </c>
      <c r="S719">
        <v>66.185318892900099</v>
      </c>
      <c r="T719">
        <f t="shared" si="11"/>
        <v>0.66185318892900102</v>
      </c>
      <c r="U719" t="s">
        <v>221</v>
      </c>
      <c r="V719" t="s">
        <v>48</v>
      </c>
    </row>
    <row r="720" spans="1:22" x14ac:dyDescent="0.25">
      <c r="A720">
        <v>719</v>
      </c>
      <c r="B720" t="s">
        <v>217</v>
      </c>
      <c r="C720" s="2">
        <v>43411</v>
      </c>
      <c r="D720" t="s">
        <v>37</v>
      </c>
      <c r="F720" t="s">
        <v>39</v>
      </c>
      <c r="G720">
        <v>21</v>
      </c>
      <c r="H720" t="s">
        <v>269</v>
      </c>
      <c r="I720" t="s">
        <v>270</v>
      </c>
      <c r="J720" t="s">
        <v>42</v>
      </c>
      <c r="K720" t="s">
        <v>271</v>
      </c>
      <c r="L720" t="s">
        <v>111</v>
      </c>
      <c r="M720" t="s">
        <v>45</v>
      </c>
      <c r="N720" t="s">
        <v>257</v>
      </c>
      <c r="O720">
        <v>120</v>
      </c>
      <c r="P720">
        <v>91.764705882352899</v>
      </c>
      <c r="Q720">
        <v>700.9</v>
      </c>
      <c r="R720">
        <v>1</v>
      </c>
      <c r="S720">
        <v>52.520325203252</v>
      </c>
      <c r="T720">
        <f t="shared" si="11"/>
        <v>0.52520325203252005</v>
      </c>
      <c r="U720" t="s">
        <v>221</v>
      </c>
      <c r="V720" t="s">
        <v>48</v>
      </c>
    </row>
    <row r="721" spans="1:35" x14ac:dyDescent="0.25">
      <c r="A721">
        <v>720</v>
      </c>
      <c r="B721" t="s">
        <v>217</v>
      </c>
      <c r="C721" s="2">
        <v>43411</v>
      </c>
      <c r="D721" t="s">
        <v>37</v>
      </c>
      <c r="F721" t="s">
        <v>39</v>
      </c>
      <c r="G721">
        <v>21</v>
      </c>
      <c r="H721" t="s">
        <v>272</v>
      </c>
      <c r="I721" t="s">
        <v>273</v>
      </c>
      <c r="J721" t="s">
        <v>42</v>
      </c>
      <c r="K721" t="s">
        <v>274</v>
      </c>
      <c r="L721" t="s">
        <v>275</v>
      </c>
      <c r="M721" t="s">
        <v>101</v>
      </c>
      <c r="N721" t="s">
        <v>257</v>
      </c>
      <c r="O721">
        <v>67</v>
      </c>
      <c r="P721">
        <v>86.4583333333333</v>
      </c>
      <c r="Q721">
        <v>437.5</v>
      </c>
      <c r="R721">
        <v>0</v>
      </c>
      <c r="S721">
        <v>66.197183098591594</v>
      </c>
      <c r="T721">
        <f t="shared" si="11"/>
        <v>0.66197183098591594</v>
      </c>
      <c r="U721" t="s">
        <v>221</v>
      </c>
      <c r="V721" t="s">
        <v>48</v>
      </c>
    </row>
    <row r="722" spans="1:35" x14ac:dyDescent="0.25">
      <c r="A722">
        <v>721</v>
      </c>
      <c r="B722" t="s">
        <v>217</v>
      </c>
      <c r="C722" s="2">
        <v>43411</v>
      </c>
      <c r="D722" t="s">
        <v>37</v>
      </c>
      <c r="F722" t="s">
        <v>39</v>
      </c>
      <c r="G722">
        <v>21</v>
      </c>
      <c r="H722" t="s">
        <v>276</v>
      </c>
      <c r="I722" t="s">
        <v>277</v>
      </c>
      <c r="J722" t="s">
        <v>42</v>
      </c>
      <c r="K722" t="s">
        <v>278</v>
      </c>
      <c r="L722" t="s">
        <v>177</v>
      </c>
      <c r="M722" t="s">
        <v>101</v>
      </c>
      <c r="N722" t="s">
        <v>257</v>
      </c>
      <c r="O722">
        <v>120</v>
      </c>
      <c r="P722">
        <v>64.864864864864899</v>
      </c>
      <c r="Q722">
        <v>432.8</v>
      </c>
      <c r="R722">
        <v>1</v>
      </c>
      <c r="S722">
        <v>62.559241706161103</v>
      </c>
      <c r="T722">
        <f t="shared" si="11"/>
        <v>0.62559241706161106</v>
      </c>
      <c r="U722" t="s">
        <v>221</v>
      </c>
      <c r="V722" t="s">
        <v>48</v>
      </c>
    </row>
    <row r="723" spans="1:35" x14ac:dyDescent="0.25">
      <c r="A723">
        <v>722</v>
      </c>
      <c r="B723" t="s">
        <v>217</v>
      </c>
      <c r="C723" s="2">
        <v>43411</v>
      </c>
      <c r="D723" t="s">
        <v>37</v>
      </c>
      <c r="F723" t="s">
        <v>39</v>
      </c>
      <c r="G723">
        <v>21</v>
      </c>
      <c r="H723" t="s">
        <v>279</v>
      </c>
      <c r="I723" t="s">
        <v>280</v>
      </c>
      <c r="J723" t="s">
        <v>42</v>
      </c>
      <c r="K723" t="s">
        <v>281</v>
      </c>
      <c r="L723" t="s">
        <v>177</v>
      </c>
      <c r="M723" t="s">
        <v>45</v>
      </c>
      <c r="N723" t="s">
        <v>257</v>
      </c>
      <c r="O723">
        <v>81</v>
      </c>
      <c r="P723">
        <v>35.454545454545503</v>
      </c>
      <c r="Q723">
        <v>441.8</v>
      </c>
      <c r="R723">
        <v>0</v>
      </c>
      <c r="S723">
        <v>53.4188034188034</v>
      </c>
      <c r="T723">
        <f t="shared" si="11"/>
        <v>0.53418803418803396</v>
      </c>
      <c r="U723" t="s">
        <v>221</v>
      </c>
      <c r="V723" t="s">
        <v>48</v>
      </c>
    </row>
    <row r="724" spans="1:35" x14ac:dyDescent="0.25">
      <c r="A724">
        <v>723</v>
      </c>
      <c r="B724" t="s">
        <v>217</v>
      </c>
      <c r="C724" s="2">
        <v>43411</v>
      </c>
      <c r="D724" t="s">
        <v>37</v>
      </c>
      <c r="F724" t="s">
        <v>39</v>
      </c>
      <c r="G724">
        <v>21</v>
      </c>
      <c r="H724" t="s">
        <v>282</v>
      </c>
      <c r="I724" t="s">
        <v>283</v>
      </c>
      <c r="J724" t="s">
        <v>42</v>
      </c>
      <c r="K724" t="s">
        <v>284</v>
      </c>
      <c r="L724" t="s">
        <v>285</v>
      </c>
      <c r="M724" t="s">
        <v>101</v>
      </c>
      <c r="N724" t="s">
        <v>257</v>
      </c>
      <c r="O724">
        <v>47</v>
      </c>
      <c r="P724">
        <v>79.381443298969103</v>
      </c>
      <c r="Q724">
        <v>671.9</v>
      </c>
      <c r="R724">
        <v>0</v>
      </c>
      <c r="S724">
        <v>60.210803689064598</v>
      </c>
      <c r="T724">
        <f t="shared" si="11"/>
        <v>0.60210803689064596</v>
      </c>
      <c r="U724" t="s">
        <v>221</v>
      </c>
      <c r="V724" t="s">
        <v>48</v>
      </c>
    </row>
    <row r="725" spans="1:35" x14ac:dyDescent="0.25">
      <c r="A725">
        <v>724</v>
      </c>
      <c r="B725" t="s">
        <v>217</v>
      </c>
      <c r="C725" s="2">
        <v>43411</v>
      </c>
      <c r="D725" t="s">
        <v>37</v>
      </c>
      <c r="F725" t="s">
        <v>39</v>
      </c>
      <c r="G725">
        <v>21</v>
      </c>
      <c r="H725" t="s">
        <v>286</v>
      </c>
      <c r="I725" t="s">
        <v>287</v>
      </c>
      <c r="J725" t="s">
        <v>42</v>
      </c>
      <c r="K725" t="s">
        <v>288</v>
      </c>
      <c r="L725" t="s">
        <v>289</v>
      </c>
      <c r="M725" t="s">
        <v>45</v>
      </c>
      <c r="N725" t="s">
        <v>257</v>
      </c>
      <c r="O725">
        <v>9</v>
      </c>
      <c r="P725">
        <v>83.653846153846203</v>
      </c>
      <c r="Q725">
        <v>671.9</v>
      </c>
      <c r="R725">
        <v>0</v>
      </c>
      <c r="S725">
        <v>60.070671378091902</v>
      </c>
      <c r="T725">
        <f t="shared" si="11"/>
        <v>0.600706713780919</v>
      </c>
      <c r="U725" t="s">
        <v>221</v>
      </c>
      <c r="V725" t="s">
        <v>48</v>
      </c>
    </row>
    <row r="726" spans="1:35" x14ac:dyDescent="0.25">
      <c r="A726">
        <v>725</v>
      </c>
      <c r="B726" t="s">
        <v>217</v>
      </c>
      <c r="C726" s="2">
        <v>43411</v>
      </c>
      <c r="D726" t="s">
        <v>37</v>
      </c>
      <c r="F726" t="s">
        <v>39</v>
      </c>
      <c r="G726">
        <v>21</v>
      </c>
      <c r="H726" t="s">
        <v>290</v>
      </c>
      <c r="I726" t="s">
        <v>291</v>
      </c>
      <c r="J726" t="s">
        <v>42</v>
      </c>
      <c r="K726" t="s">
        <v>292</v>
      </c>
      <c r="L726" t="s">
        <v>293</v>
      </c>
      <c r="M726" t="s">
        <v>101</v>
      </c>
      <c r="N726" t="s">
        <v>294</v>
      </c>
      <c r="O726">
        <v>72</v>
      </c>
      <c r="P726">
        <v>62.352941176470601</v>
      </c>
      <c r="Q726">
        <v>545.1</v>
      </c>
      <c r="R726">
        <v>0</v>
      </c>
      <c r="S726">
        <v>79.253112033194995</v>
      </c>
      <c r="T726">
        <f t="shared" si="11"/>
        <v>0.79253112033194995</v>
      </c>
      <c r="U726" t="s">
        <v>221</v>
      </c>
      <c r="V726" t="s">
        <v>295</v>
      </c>
    </row>
    <row r="727" spans="1:35" x14ac:dyDescent="0.25">
      <c r="A727">
        <v>726</v>
      </c>
      <c r="B727" t="s">
        <v>217</v>
      </c>
      <c r="C727" s="2">
        <v>43411</v>
      </c>
      <c r="D727" t="s">
        <v>37</v>
      </c>
      <c r="F727" t="s">
        <v>39</v>
      </c>
      <c r="G727">
        <v>21</v>
      </c>
      <c r="H727" t="s">
        <v>296</v>
      </c>
      <c r="I727" t="s">
        <v>297</v>
      </c>
      <c r="J727" t="s">
        <v>42</v>
      </c>
      <c r="K727" t="s">
        <v>298</v>
      </c>
      <c r="L727" t="s">
        <v>293</v>
      </c>
      <c r="M727" t="s">
        <v>101</v>
      </c>
      <c r="N727" t="s">
        <v>294</v>
      </c>
      <c r="O727">
        <v>41</v>
      </c>
      <c r="P727">
        <v>67.676767676767696</v>
      </c>
      <c r="Q727">
        <v>641.70000000000005</v>
      </c>
      <c r="R727">
        <v>0</v>
      </c>
      <c r="S727">
        <v>58.613445378151198</v>
      </c>
      <c r="T727">
        <f t="shared" si="11"/>
        <v>0.58613445378151197</v>
      </c>
      <c r="U727" t="s">
        <v>221</v>
      </c>
      <c r="V727" t="s">
        <v>295</v>
      </c>
    </row>
    <row r="728" spans="1:35" x14ac:dyDescent="0.25">
      <c r="A728">
        <v>727</v>
      </c>
      <c r="B728" t="s">
        <v>217</v>
      </c>
      <c r="C728" s="2">
        <v>43411</v>
      </c>
      <c r="D728" t="s">
        <v>37</v>
      </c>
      <c r="F728" t="s">
        <v>39</v>
      </c>
      <c r="G728">
        <v>21</v>
      </c>
      <c r="H728" t="s">
        <v>299</v>
      </c>
      <c r="I728" t="s">
        <v>300</v>
      </c>
      <c r="J728" t="s">
        <v>42</v>
      </c>
      <c r="K728" t="s">
        <v>301</v>
      </c>
      <c r="L728" t="s">
        <v>302</v>
      </c>
      <c r="M728" t="s">
        <v>45</v>
      </c>
      <c r="N728" t="s">
        <v>294</v>
      </c>
      <c r="O728">
        <v>32</v>
      </c>
      <c r="P728">
        <v>79.6875</v>
      </c>
      <c r="Q728">
        <v>661.4</v>
      </c>
      <c r="R728">
        <v>0</v>
      </c>
      <c r="S728">
        <v>53.713298791019</v>
      </c>
      <c r="T728">
        <f t="shared" si="11"/>
        <v>0.53713298791019004</v>
      </c>
      <c r="U728" t="s">
        <v>221</v>
      </c>
      <c r="V728" t="s">
        <v>295</v>
      </c>
    </row>
    <row r="729" spans="1:35" x14ac:dyDescent="0.25">
      <c r="A729">
        <v>728</v>
      </c>
      <c r="B729" t="s">
        <v>217</v>
      </c>
      <c r="C729" s="2">
        <v>43411</v>
      </c>
      <c r="D729" t="s">
        <v>37</v>
      </c>
      <c r="F729" t="s">
        <v>39</v>
      </c>
      <c r="G729">
        <v>21</v>
      </c>
      <c r="H729" t="s">
        <v>303</v>
      </c>
      <c r="I729" t="s">
        <v>304</v>
      </c>
      <c r="J729" t="s">
        <v>42</v>
      </c>
      <c r="K729" t="s">
        <v>305</v>
      </c>
      <c r="L729" t="s">
        <v>250</v>
      </c>
      <c r="M729" t="s">
        <v>101</v>
      </c>
      <c r="N729" t="s">
        <v>294</v>
      </c>
      <c r="O729">
        <v>95</v>
      </c>
      <c r="P729">
        <v>75</v>
      </c>
      <c r="Q729">
        <v>675.1</v>
      </c>
      <c r="R729">
        <v>0</v>
      </c>
      <c r="S729">
        <v>64.150943396226396</v>
      </c>
      <c r="T729">
        <f t="shared" si="11"/>
        <v>0.64150943396226401</v>
      </c>
      <c r="U729" t="s">
        <v>221</v>
      </c>
      <c r="V729" t="s">
        <v>295</v>
      </c>
    </row>
    <row r="730" spans="1:35" x14ac:dyDescent="0.25">
      <c r="A730">
        <v>729</v>
      </c>
      <c r="B730" t="s">
        <v>217</v>
      </c>
      <c r="C730" s="2">
        <v>43411</v>
      </c>
      <c r="D730" t="s">
        <v>37</v>
      </c>
      <c r="F730" t="s">
        <v>39</v>
      </c>
      <c r="G730">
        <v>21</v>
      </c>
      <c r="H730" t="s">
        <v>306</v>
      </c>
      <c r="I730" t="s">
        <v>307</v>
      </c>
      <c r="J730" t="s">
        <v>42</v>
      </c>
      <c r="K730" t="s">
        <v>308</v>
      </c>
      <c r="L730" t="s">
        <v>250</v>
      </c>
      <c r="M730" t="s">
        <v>101</v>
      </c>
      <c r="N730" t="s">
        <v>294</v>
      </c>
      <c r="O730">
        <v>28</v>
      </c>
      <c r="P730">
        <v>76.190476190476204</v>
      </c>
      <c r="Q730">
        <v>546.4</v>
      </c>
      <c r="R730">
        <v>0</v>
      </c>
      <c r="S730">
        <v>52.682926829268297</v>
      </c>
      <c r="T730">
        <f t="shared" si="11"/>
        <v>0.52682926829268295</v>
      </c>
      <c r="U730" t="s">
        <v>221</v>
      </c>
      <c r="V730" t="s">
        <v>295</v>
      </c>
    </row>
    <row r="731" spans="1:35" x14ac:dyDescent="0.25">
      <c r="A731">
        <v>730</v>
      </c>
      <c r="B731" t="s">
        <v>217</v>
      </c>
      <c r="C731" s="2">
        <v>43411</v>
      </c>
      <c r="D731" t="s">
        <v>37</v>
      </c>
      <c r="F731" t="s">
        <v>39</v>
      </c>
      <c r="G731">
        <v>21</v>
      </c>
      <c r="H731" t="s">
        <v>309</v>
      </c>
      <c r="I731" t="s">
        <v>310</v>
      </c>
      <c r="J731" t="s">
        <v>42</v>
      </c>
      <c r="K731" t="s">
        <v>311</v>
      </c>
      <c r="L731" t="s">
        <v>250</v>
      </c>
      <c r="M731" t="s">
        <v>101</v>
      </c>
      <c r="N731" t="s">
        <v>294</v>
      </c>
      <c r="O731">
        <v>99</v>
      </c>
      <c r="P731">
        <v>58.407079646017699</v>
      </c>
      <c r="Q731">
        <v>715.4</v>
      </c>
      <c r="R731">
        <v>0</v>
      </c>
      <c r="S731">
        <v>57.4102964118565</v>
      </c>
      <c r="T731">
        <f t="shared" si="11"/>
        <v>0.57410296411856498</v>
      </c>
      <c r="U731" t="s">
        <v>221</v>
      </c>
      <c r="V731" t="s">
        <v>295</v>
      </c>
    </row>
    <row r="732" spans="1:35" x14ac:dyDescent="0.25">
      <c r="A732">
        <v>731</v>
      </c>
      <c r="B732" t="s">
        <v>217</v>
      </c>
      <c r="C732" s="2">
        <v>43411</v>
      </c>
      <c r="D732" t="s">
        <v>37</v>
      </c>
      <c r="F732" t="s">
        <v>39</v>
      </c>
      <c r="G732">
        <v>21</v>
      </c>
      <c r="H732" t="s">
        <v>312</v>
      </c>
      <c r="I732" t="s">
        <v>313</v>
      </c>
      <c r="J732" t="s">
        <v>42</v>
      </c>
      <c r="K732" t="s">
        <v>314</v>
      </c>
      <c r="L732" t="s">
        <v>250</v>
      </c>
      <c r="M732" t="s">
        <v>101</v>
      </c>
      <c r="N732" t="s">
        <v>294</v>
      </c>
      <c r="O732">
        <v>57</v>
      </c>
      <c r="P732">
        <v>76.363636363636402</v>
      </c>
      <c r="Q732">
        <v>558.29999999999995</v>
      </c>
      <c r="R732">
        <v>0</v>
      </c>
      <c r="S732">
        <v>49.4845360824742</v>
      </c>
      <c r="T732">
        <f t="shared" si="11"/>
        <v>0.49484536082474201</v>
      </c>
      <c r="U732" t="s">
        <v>221</v>
      </c>
      <c r="V732" t="s">
        <v>295</v>
      </c>
    </row>
    <row r="733" spans="1:35" x14ac:dyDescent="0.25">
      <c r="A733">
        <v>732</v>
      </c>
      <c r="B733" t="s">
        <v>217</v>
      </c>
      <c r="C733" s="2">
        <v>43411</v>
      </c>
      <c r="D733" t="s">
        <v>37</v>
      </c>
      <c r="F733" t="s">
        <v>39</v>
      </c>
      <c r="G733">
        <v>21</v>
      </c>
      <c r="H733" t="s">
        <v>315</v>
      </c>
      <c r="I733" t="s">
        <v>316</v>
      </c>
      <c r="J733" t="s">
        <v>42</v>
      </c>
      <c r="K733" t="s">
        <v>317</v>
      </c>
      <c r="L733" t="s">
        <v>185</v>
      </c>
      <c r="M733" t="s">
        <v>101</v>
      </c>
      <c r="N733" t="s">
        <v>294</v>
      </c>
      <c r="O733">
        <v>41</v>
      </c>
      <c r="P733">
        <v>67.441860465116307</v>
      </c>
      <c r="Q733">
        <v>663.4</v>
      </c>
      <c r="R733">
        <v>0</v>
      </c>
      <c r="S733">
        <v>50.501002004008001</v>
      </c>
      <c r="T733">
        <f t="shared" si="11"/>
        <v>0.50501002004008</v>
      </c>
      <c r="U733" t="s">
        <v>221</v>
      </c>
      <c r="V733" t="s">
        <v>295</v>
      </c>
    </row>
    <row r="734" spans="1:35" x14ac:dyDescent="0.25">
      <c r="A734">
        <v>733</v>
      </c>
      <c r="B734" t="s">
        <v>375</v>
      </c>
      <c r="C734" s="2">
        <v>42417</v>
      </c>
      <c r="G734">
        <f>Z734</f>
        <v>1</v>
      </c>
      <c r="H734" t="str">
        <f>Y734</f>
        <v>AGAAPI</v>
      </c>
      <c r="K734" t="s">
        <v>324</v>
      </c>
      <c r="N734" t="str">
        <f>W734</f>
        <v>Fynbos</v>
      </c>
      <c r="P734">
        <v>63</v>
      </c>
      <c r="Q734">
        <v>750.5</v>
      </c>
      <c r="S734">
        <v>44.4</v>
      </c>
      <c r="T734">
        <f t="shared" si="11"/>
        <v>0.44400000000000001</v>
      </c>
      <c r="U734" t="s">
        <v>376</v>
      </c>
      <c r="V734" t="s">
        <v>48</v>
      </c>
      <c r="W734" t="s">
        <v>46</v>
      </c>
      <c r="X734" t="s">
        <v>325</v>
      </c>
      <c r="Y734" t="s">
        <v>326</v>
      </c>
      <c r="Z734">
        <v>1</v>
      </c>
      <c r="AA734">
        <v>750.5</v>
      </c>
      <c r="AB734">
        <v>21</v>
      </c>
      <c r="AC734">
        <v>17.5</v>
      </c>
      <c r="AD734">
        <v>1.2</v>
      </c>
      <c r="AE734">
        <v>5</v>
      </c>
      <c r="AF734">
        <v>63</v>
      </c>
      <c r="AG734">
        <v>75.400000000000006</v>
      </c>
      <c r="AH734">
        <v>41.92</v>
      </c>
      <c r="AI734">
        <v>44.4</v>
      </c>
    </row>
    <row r="735" spans="1:35" x14ac:dyDescent="0.25">
      <c r="A735">
        <v>734</v>
      </c>
      <c r="B735" t="s">
        <v>375</v>
      </c>
      <c r="C735" s="2">
        <v>42417</v>
      </c>
      <c r="G735">
        <f t="shared" ref="G735:G798" si="12">Z735</f>
        <v>2</v>
      </c>
      <c r="H735" t="str">
        <f t="shared" ref="H735:H798" si="13">Y735</f>
        <v>AGAAPI</v>
      </c>
      <c r="K735" t="s">
        <v>324</v>
      </c>
      <c r="N735" t="str">
        <f t="shared" ref="N735:N798" si="14">W735</f>
        <v>Fynbos</v>
      </c>
      <c r="P735">
        <v>63</v>
      </c>
      <c r="Q735">
        <v>722.3</v>
      </c>
      <c r="S735">
        <v>35.799999999999997</v>
      </c>
      <c r="T735">
        <f t="shared" si="11"/>
        <v>0.35799999999999998</v>
      </c>
      <c r="U735" t="s">
        <v>376</v>
      </c>
      <c r="V735" t="s">
        <v>48</v>
      </c>
      <c r="W735" t="s">
        <v>46</v>
      </c>
      <c r="X735" t="s">
        <v>325</v>
      </c>
      <c r="Y735" t="s">
        <v>326</v>
      </c>
      <c r="Z735">
        <v>2</v>
      </c>
      <c r="AA735">
        <v>722.3</v>
      </c>
      <c r="AB735">
        <v>18</v>
      </c>
      <c r="AC735">
        <v>40.200000000000003</v>
      </c>
      <c r="AD735">
        <v>0.45</v>
      </c>
      <c r="AE735">
        <v>5</v>
      </c>
      <c r="AF735">
        <v>63</v>
      </c>
      <c r="AG735">
        <v>230.6</v>
      </c>
      <c r="AH735">
        <v>148.13999999999999</v>
      </c>
      <c r="AI735">
        <v>35.799999999999997</v>
      </c>
    </row>
    <row r="736" spans="1:35" x14ac:dyDescent="0.25">
      <c r="A736">
        <v>735</v>
      </c>
      <c r="B736" t="s">
        <v>375</v>
      </c>
      <c r="C736" s="2">
        <v>42417</v>
      </c>
      <c r="G736">
        <f t="shared" si="12"/>
        <v>3</v>
      </c>
      <c r="H736" t="str">
        <f t="shared" si="13"/>
        <v>AGAAPI</v>
      </c>
      <c r="K736" t="s">
        <v>324</v>
      </c>
      <c r="N736" t="str">
        <f t="shared" si="14"/>
        <v>Fynbos</v>
      </c>
      <c r="P736">
        <v>88</v>
      </c>
      <c r="Q736">
        <v>520</v>
      </c>
      <c r="S736">
        <v>39.1</v>
      </c>
      <c r="T736">
        <f t="shared" si="11"/>
        <v>0.39100000000000001</v>
      </c>
      <c r="U736" t="s">
        <v>376</v>
      </c>
      <c r="V736" t="s">
        <v>48</v>
      </c>
      <c r="W736" t="s">
        <v>46</v>
      </c>
      <c r="X736" t="s">
        <v>325</v>
      </c>
      <c r="Y736" t="s">
        <v>326</v>
      </c>
      <c r="Z736">
        <v>3</v>
      </c>
      <c r="AA736">
        <v>520</v>
      </c>
      <c r="AB736">
        <v>15</v>
      </c>
      <c r="AC736">
        <v>50.5</v>
      </c>
      <c r="AD736">
        <v>0.3</v>
      </c>
      <c r="AE736">
        <v>6</v>
      </c>
      <c r="AF736">
        <v>88</v>
      </c>
      <c r="AG736">
        <v>104.2</v>
      </c>
      <c r="AH736">
        <v>63.41</v>
      </c>
      <c r="AI736">
        <v>39.1</v>
      </c>
    </row>
    <row r="737" spans="1:35" x14ac:dyDescent="0.25">
      <c r="A737">
        <v>736</v>
      </c>
      <c r="B737" t="s">
        <v>375</v>
      </c>
      <c r="C737" s="2">
        <v>42417</v>
      </c>
      <c r="G737">
        <f t="shared" si="12"/>
        <v>1</v>
      </c>
      <c r="H737" t="str">
        <f t="shared" si="13"/>
        <v>PASCOR</v>
      </c>
      <c r="K737" t="s">
        <v>327</v>
      </c>
      <c r="N737" t="str">
        <f t="shared" si="14"/>
        <v>Fynbos</v>
      </c>
      <c r="P737">
        <v>5.5</v>
      </c>
      <c r="Q737">
        <v>571.70000000000005</v>
      </c>
      <c r="S737">
        <v>32.9</v>
      </c>
      <c r="T737">
        <f t="shared" si="11"/>
        <v>0.32899999999999996</v>
      </c>
      <c r="U737" t="s">
        <v>376</v>
      </c>
      <c r="V737" t="s">
        <v>48</v>
      </c>
      <c r="W737" t="s">
        <v>46</v>
      </c>
      <c r="X737" t="s">
        <v>325</v>
      </c>
      <c r="Y737" t="s">
        <v>328</v>
      </c>
      <c r="Z737">
        <v>1</v>
      </c>
      <c r="AA737">
        <v>571.70000000000005</v>
      </c>
      <c r="AB737">
        <v>17.5</v>
      </c>
      <c r="AC737">
        <v>15.1</v>
      </c>
      <c r="AD737">
        <v>1.1599999999999999</v>
      </c>
      <c r="AE737">
        <v>2</v>
      </c>
      <c r="AF737">
        <v>5.5</v>
      </c>
      <c r="AG737">
        <v>80.599999999999994</v>
      </c>
      <c r="AH737">
        <v>54.05</v>
      </c>
      <c r="AI737">
        <v>32.9</v>
      </c>
    </row>
    <row r="738" spans="1:35" x14ac:dyDescent="0.25">
      <c r="A738">
        <v>737</v>
      </c>
      <c r="B738" t="s">
        <v>375</v>
      </c>
      <c r="C738" s="2">
        <v>42417</v>
      </c>
      <c r="G738">
        <f t="shared" si="12"/>
        <v>2</v>
      </c>
      <c r="H738" t="str">
        <f t="shared" si="13"/>
        <v>PASCOR</v>
      </c>
      <c r="K738" t="s">
        <v>327</v>
      </c>
      <c r="N738" t="str">
        <f t="shared" si="14"/>
        <v>Fynbos</v>
      </c>
      <c r="P738">
        <v>38</v>
      </c>
      <c r="Q738">
        <v>716.3</v>
      </c>
      <c r="S738">
        <v>31.9</v>
      </c>
      <c r="T738">
        <f t="shared" si="11"/>
        <v>0.31900000000000001</v>
      </c>
      <c r="U738" t="s">
        <v>376</v>
      </c>
      <c r="V738" t="s">
        <v>48</v>
      </c>
      <c r="W738" t="s">
        <v>46</v>
      </c>
      <c r="X738" t="s">
        <v>325</v>
      </c>
      <c r="Y738" t="s">
        <v>328</v>
      </c>
      <c r="Z738">
        <v>2</v>
      </c>
      <c r="AA738">
        <v>716.3</v>
      </c>
      <c r="AB738">
        <v>20</v>
      </c>
      <c r="AC738">
        <v>11.9</v>
      </c>
      <c r="AD738">
        <v>1.68</v>
      </c>
      <c r="AE738">
        <v>4</v>
      </c>
      <c r="AF738">
        <v>38</v>
      </c>
      <c r="AG738">
        <v>159.80000000000001</v>
      </c>
      <c r="AH738">
        <v>108.87</v>
      </c>
      <c r="AI738">
        <v>31.9</v>
      </c>
    </row>
    <row r="739" spans="1:35" x14ac:dyDescent="0.25">
      <c r="A739">
        <v>738</v>
      </c>
      <c r="B739" t="s">
        <v>375</v>
      </c>
      <c r="C739" s="2">
        <v>42417</v>
      </c>
      <c r="G739">
        <f t="shared" si="12"/>
        <v>3</v>
      </c>
      <c r="H739" t="str">
        <f t="shared" si="13"/>
        <v>PASCOR</v>
      </c>
      <c r="K739" t="s">
        <v>327</v>
      </c>
      <c r="N739" t="str">
        <f t="shared" si="14"/>
        <v>Fynbos</v>
      </c>
      <c r="P739">
        <v>88</v>
      </c>
      <c r="Q739">
        <v>800</v>
      </c>
      <c r="S739">
        <v>34.700000000000003</v>
      </c>
      <c r="T739">
        <f t="shared" si="11"/>
        <v>0.34700000000000003</v>
      </c>
      <c r="U739" t="s">
        <v>376</v>
      </c>
      <c r="V739" t="s">
        <v>48</v>
      </c>
      <c r="W739" t="s">
        <v>46</v>
      </c>
      <c r="X739" t="s">
        <v>325</v>
      </c>
      <c r="Y739" t="s">
        <v>328</v>
      </c>
      <c r="Z739">
        <v>3</v>
      </c>
      <c r="AA739">
        <v>800</v>
      </c>
      <c r="AB739">
        <v>35.5</v>
      </c>
      <c r="AC739">
        <v>29.1</v>
      </c>
      <c r="AD739">
        <v>1.22</v>
      </c>
      <c r="AE739">
        <v>6</v>
      </c>
      <c r="AF739">
        <v>88</v>
      </c>
      <c r="AG739">
        <v>128.6</v>
      </c>
      <c r="AH739">
        <v>83.95</v>
      </c>
      <c r="AI739">
        <v>34.700000000000003</v>
      </c>
    </row>
    <row r="740" spans="1:35" x14ac:dyDescent="0.25">
      <c r="A740">
        <v>739</v>
      </c>
      <c r="B740" t="s">
        <v>375</v>
      </c>
      <c r="C740" s="2">
        <v>42417</v>
      </c>
      <c r="G740">
        <f t="shared" si="12"/>
        <v>1</v>
      </c>
      <c r="H740" t="str">
        <f t="shared" si="13"/>
        <v>RESLEP</v>
      </c>
      <c r="K740" t="s">
        <v>329</v>
      </c>
      <c r="N740" t="str">
        <f t="shared" si="14"/>
        <v>Fynbos</v>
      </c>
      <c r="P740">
        <v>88</v>
      </c>
      <c r="Q740">
        <v>800</v>
      </c>
      <c r="S740">
        <v>37</v>
      </c>
      <c r="T740">
        <f t="shared" si="11"/>
        <v>0.37</v>
      </c>
      <c r="U740" t="s">
        <v>376</v>
      </c>
      <c r="V740" t="s">
        <v>48</v>
      </c>
      <c r="W740" t="s">
        <v>46</v>
      </c>
      <c r="X740" t="s">
        <v>325</v>
      </c>
      <c r="Y740" t="s">
        <v>330</v>
      </c>
      <c r="Z740">
        <v>1</v>
      </c>
      <c r="AA740">
        <v>800</v>
      </c>
      <c r="AB740">
        <v>38</v>
      </c>
      <c r="AC740">
        <v>36.200000000000003</v>
      </c>
      <c r="AD740">
        <v>1.05</v>
      </c>
      <c r="AE740">
        <v>6</v>
      </c>
      <c r="AF740">
        <v>88</v>
      </c>
      <c r="AG740">
        <v>107</v>
      </c>
      <c r="AH740">
        <v>67.45</v>
      </c>
      <c r="AI740">
        <v>37</v>
      </c>
    </row>
    <row r="741" spans="1:35" x14ac:dyDescent="0.25">
      <c r="A741">
        <v>740</v>
      </c>
      <c r="B741" t="s">
        <v>375</v>
      </c>
      <c r="C741" s="2">
        <v>42417</v>
      </c>
      <c r="G741">
        <f t="shared" si="12"/>
        <v>2</v>
      </c>
      <c r="H741" t="str">
        <f t="shared" si="13"/>
        <v>RESLEP</v>
      </c>
      <c r="K741" t="s">
        <v>329</v>
      </c>
      <c r="N741" t="str">
        <f t="shared" si="14"/>
        <v>Fynbos</v>
      </c>
      <c r="P741">
        <v>63</v>
      </c>
      <c r="Q741">
        <v>778.5</v>
      </c>
      <c r="S741">
        <v>43.9</v>
      </c>
      <c r="T741">
        <f t="shared" si="11"/>
        <v>0.439</v>
      </c>
      <c r="U741" t="s">
        <v>376</v>
      </c>
      <c r="V741" t="s">
        <v>48</v>
      </c>
      <c r="W741" t="s">
        <v>46</v>
      </c>
      <c r="X741" t="s">
        <v>325</v>
      </c>
      <c r="Y741" t="s">
        <v>330</v>
      </c>
      <c r="Z741">
        <v>2</v>
      </c>
      <c r="AA741">
        <v>778.5</v>
      </c>
      <c r="AB741">
        <v>23</v>
      </c>
      <c r="AC741">
        <v>27.9</v>
      </c>
      <c r="AD741">
        <v>0.82</v>
      </c>
      <c r="AE741">
        <v>5</v>
      </c>
      <c r="AF741">
        <v>63</v>
      </c>
      <c r="AG741">
        <v>98.2</v>
      </c>
      <c r="AH741">
        <v>55.09</v>
      </c>
      <c r="AI741">
        <v>43.9</v>
      </c>
    </row>
    <row r="742" spans="1:35" x14ac:dyDescent="0.25">
      <c r="A742">
        <v>741</v>
      </c>
      <c r="B742" t="s">
        <v>375</v>
      </c>
      <c r="C742" s="2">
        <v>42417</v>
      </c>
      <c r="G742">
        <f t="shared" si="12"/>
        <v>3</v>
      </c>
      <c r="H742" t="str">
        <f t="shared" si="13"/>
        <v>RESLEP</v>
      </c>
      <c r="K742" t="s">
        <v>329</v>
      </c>
      <c r="N742" t="str">
        <f t="shared" si="14"/>
        <v>Fynbos</v>
      </c>
      <c r="P742">
        <v>88</v>
      </c>
      <c r="Q742">
        <v>800</v>
      </c>
      <c r="S742">
        <v>37.9</v>
      </c>
      <c r="T742">
        <f t="shared" si="11"/>
        <v>0.379</v>
      </c>
      <c r="U742" t="s">
        <v>376</v>
      </c>
      <c r="V742" t="s">
        <v>48</v>
      </c>
      <c r="W742" t="s">
        <v>46</v>
      </c>
      <c r="X742" t="s">
        <v>325</v>
      </c>
      <c r="Y742" t="s">
        <v>330</v>
      </c>
      <c r="Z742">
        <v>3</v>
      </c>
      <c r="AA742">
        <v>800</v>
      </c>
      <c r="AB742">
        <v>24</v>
      </c>
      <c r="AC742">
        <v>20.5</v>
      </c>
      <c r="AD742">
        <v>1.17</v>
      </c>
      <c r="AE742">
        <v>6</v>
      </c>
      <c r="AF742">
        <v>88</v>
      </c>
      <c r="AG742">
        <v>119</v>
      </c>
      <c r="AH742">
        <v>73.95</v>
      </c>
      <c r="AI742">
        <v>37.9</v>
      </c>
    </row>
    <row r="743" spans="1:35" x14ac:dyDescent="0.25">
      <c r="A743">
        <v>742</v>
      </c>
      <c r="B743" t="s">
        <v>375</v>
      </c>
      <c r="C743" s="2">
        <v>42417</v>
      </c>
      <c r="G743">
        <f t="shared" si="12"/>
        <v>1</v>
      </c>
      <c r="H743" t="str">
        <f t="shared" si="13"/>
        <v>FELECH</v>
      </c>
      <c r="K743" t="s">
        <v>331</v>
      </c>
      <c r="N743" t="str">
        <f t="shared" si="14"/>
        <v>Fynbos</v>
      </c>
      <c r="P743">
        <v>63</v>
      </c>
      <c r="Q743">
        <v>586.4</v>
      </c>
      <c r="S743">
        <v>25.6</v>
      </c>
      <c r="T743">
        <f t="shared" si="11"/>
        <v>0.25600000000000001</v>
      </c>
      <c r="U743" t="s">
        <v>376</v>
      </c>
      <c r="V743" t="s">
        <v>48</v>
      </c>
      <c r="W743" t="s">
        <v>46</v>
      </c>
      <c r="X743" t="s">
        <v>325</v>
      </c>
      <c r="Y743" t="s">
        <v>332</v>
      </c>
      <c r="Z743">
        <v>1</v>
      </c>
      <c r="AA743">
        <v>586.4</v>
      </c>
      <c r="AB743">
        <v>26</v>
      </c>
      <c r="AC743">
        <v>20.8</v>
      </c>
      <c r="AD743">
        <v>1.25</v>
      </c>
      <c r="AE743">
        <v>5</v>
      </c>
      <c r="AF743">
        <v>63</v>
      </c>
      <c r="AG743">
        <v>32.6</v>
      </c>
      <c r="AH743">
        <v>24.25</v>
      </c>
      <c r="AI743">
        <v>25.6</v>
      </c>
    </row>
    <row r="744" spans="1:35" x14ac:dyDescent="0.25">
      <c r="A744">
        <v>743</v>
      </c>
      <c r="B744" t="s">
        <v>375</v>
      </c>
      <c r="C744" s="2">
        <v>42417</v>
      </c>
      <c r="G744">
        <f t="shared" si="12"/>
        <v>2</v>
      </c>
      <c r="H744" t="str">
        <f t="shared" si="13"/>
        <v>FELECH</v>
      </c>
      <c r="K744" t="s">
        <v>331</v>
      </c>
      <c r="N744" t="str">
        <f t="shared" si="14"/>
        <v>Fynbos</v>
      </c>
      <c r="P744">
        <v>63</v>
      </c>
      <c r="Q744">
        <v>685.1</v>
      </c>
      <c r="S744">
        <v>27.2</v>
      </c>
      <c r="T744">
        <f t="shared" si="11"/>
        <v>0.27200000000000002</v>
      </c>
      <c r="U744" t="s">
        <v>376</v>
      </c>
      <c r="V744" t="s">
        <v>48</v>
      </c>
      <c r="W744" t="s">
        <v>46</v>
      </c>
      <c r="X744" t="s">
        <v>325</v>
      </c>
      <c r="Y744" t="s">
        <v>332</v>
      </c>
      <c r="Z744">
        <v>2</v>
      </c>
      <c r="AA744">
        <v>685.1</v>
      </c>
      <c r="AB744">
        <v>35</v>
      </c>
      <c r="AC744">
        <v>46.7</v>
      </c>
      <c r="AD744">
        <v>0.75</v>
      </c>
      <c r="AE744">
        <v>5</v>
      </c>
      <c r="AF744">
        <v>63</v>
      </c>
      <c r="AG744">
        <v>33.6</v>
      </c>
      <c r="AH744">
        <v>24.47</v>
      </c>
      <c r="AI744">
        <v>27.2</v>
      </c>
    </row>
    <row r="745" spans="1:35" x14ac:dyDescent="0.25">
      <c r="A745">
        <v>744</v>
      </c>
      <c r="B745" t="s">
        <v>375</v>
      </c>
      <c r="C745" s="2">
        <v>42417</v>
      </c>
      <c r="G745">
        <f t="shared" si="12"/>
        <v>3</v>
      </c>
      <c r="H745" t="str">
        <f t="shared" si="13"/>
        <v>FELECH</v>
      </c>
      <c r="K745" t="s">
        <v>331</v>
      </c>
      <c r="N745" t="str">
        <f t="shared" si="14"/>
        <v>Fynbos</v>
      </c>
      <c r="P745">
        <v>38</v>
      </c>
      <c r="Q745">
        <v>594.70000000000005</v>
      </c>
      <c r="S745">
        <v>30.2</v>
      </c>
      <c r="T745">
        <f t="shared" si="11"/>
        <v>0.30199999999999999</v>
      </c>
      <c r="U745" t="s">
        <v>376</v>
      </c>
      <c r="V745" t="s">
        <v>48</v>
      </c>
      <c r="W745" t="s">
        <v>46</v>
      </c>
      <c r="X745" t="s">
        <v>325</v>
      </c>
      <c r="Y745" t="s">
        <v>332</v>
      </c>
      <c r="Z745">
        <v>3</v>
      </c>
      <c r="AA745">
        <v>594.70000000000005</v>
      </c>
      <c r="AB745">
        <v>18</v>
      </c>
      <c r="AC745">
        <v>37.299999999999997</v>
      </c>
      <c r="AD745">
        <v>0.48</v>
      </c>
      <c r="AE745">
        <v>4</v>
      </c>
      <c r="AF745">
        <v>38</v>
      </c>
      <c r="AG745">
        <v>30.8</v>
      </c>
      <c r="AH745">
        <v>21.5</v>
      </c>
      <c r="AI745">
        <v>30.2</v>
      </c>
    </row>
    <row r="746" spans="1:35" x14ac:dyDescent="0.25">
      <c r="A746">
        <v>745</v>
      </c>
      <c r="B746" t="s">
        <v>375</v>
      </c>
      <c r="C746" s="2">
        <v>42417</v>
      </c>
      <c r="G746">
        <f t="shared" si="12"/>
        <v>1</v>
      </c>
      <c r="H746" t="str">
        <f t="shared" si="13"/>
        <v>HELTER</v>
      </c>
      <c r="K746" t="s">
        <v>333</v>
      </c>
      <c r="N746" t="str">
        <f t="shared" si="14"/>
        <v>Fynbos</v>
      </c>
      <c r="P746">
        <v>88</v>
      </c>
      <c r="Q746">
        <v>800</v>
      </c>
      <c r="S746">
        <v>34.1</v>
      </c>
      <c r="T746">
        <f t="shared" si="11"/>
        <v>0.34100000000000003</v>
      </c>
      <c r="U746" t="s">
        <v>376</v>
      </c>
      <c r="V746" t="s">
        <v>48</v>
      </c>
      <c r="W746" t="s">
        <v>46</v>
      </c>
      <c r="X746" t="s">
        <v>325</v>
      </c>
      <c r="Y746" t="s">
        <v>334</v>
      </c>
      <c r="Z746">
        <v>1</v>
      </c>
      <c r="AA746">
        <v>800</v>
      </c>
      <c r="AB746">
        <v>30</v>
      </c>
      <c r="AC746">
        <v>20.79</v>
      </c>
      <c r="AD746">
        <v>1.44</v>
      </c>
      <c r="AE746">
        <v>6</v>
      </c>
      <c r="AF746">
        <v>88</v>
      </c>
      <c r="AG746">
        <v>51.4</v>
      </c>
      <c r="AH746">
        <v>33.880000000000003</v>
      </c>
      <c r="AI746">
        <v>34.1</v>
      </c>
    </row>
    <row r="747" spans="1:35" x14ac:dyDescent="0.25">
      <c r="A747">
        <v>746</v>
      </c>
      <c r="B747" t="s">
        <v>375</v>
      </c>
      <c r="C747" s="2">
        <v>42417</v>
      </c>
      <c r="G747">
        <f t="shared" si="12"/>
        <v>2</v>
      </c>
      <c r="H747" t="str">
        <f t="shared" si="13"/>
        <v>HELTER</v>
      </c>
      <c r="K747" t="s">
        <v>333</v>
      </c>
      <c r="N747" t="str">
        <f t="shared" si="14"/>
        <v>Fynbos</v>
      </c>
      <c r="P747">
        <v>63</v>
      </c>
      <c r="Q747">
        <v>713.1</v>
      </c>
      <c r="S747">
        <v>28.3</v>
      </c>
      <c r="T747">
        <f t="shared" si="11"/>
        <v>0.28300000000000003</v>
      </c>
      <c r="U747" t="s">
        <v>376</v>
      </c>
      <c r="V747" t="s">
        <v>48</v>
      </c>
      <c r="W747" t="s">
        <v>46</v>
      </c>
      <c r="X747" t="s">
        <v>325</v>
      </c>
      <c r="Y747" t="s">
        <v>334</v>
      </c>
      <c r="Z747">
        <v>2</v>
      </c>
      <c r="AA747">
        <v>713.1</v>
      </c>
      <c r="AB747">
        <v>22</v>
      </c>
      <c r="AC747">
        <v>21</v>
      </c>
      <c r="AD747">
        <v>1.05</v>
      </c>
      <c r="AE747">
        <v>5</v>
      </c>
      <c r="AF747">
        <v>63</v>
      </c>
      <c r="AG747">
        <v>45.8</v>
      </c>
      <c r="AH747">
        <v>32.840000000000003</v>
      </c>
      <c r="AI747">
        <v>28.3</v>
      </c>
    </row>
    <row r="748" spans="1:35" x14ac:dyDescent="0.25">
      <c r="A748">
        <v>747</v>
      </c>
      <c r="B748" t="s">
        <v>375</v>
      </c>
      <c r="C748" s="2">
        <v>42417</v>
      </c>
      <c r="G748">
        <f t="shared" si="12"/>
        <v>3</v>
      </c>
      <c r="H748" t="str">
        <f t="shared" si="13"/>
        <v>HELTER</v>
      </c>
      <c r="K748" t="s">
        <v>333</v>
      </c>
      <c r="N748" t="str">
        <f t="shared" si="14"/>
        <v>Fynbos</v>
      </c>
      <c r="P748">
        <v>88</v>
      </c>
      <c r="Q748">
        <v>800</v>
      </c>
      <c r="S748">
        <v>16</v>
      </c>
      <c r="T748">
        <f t="shared" si="11"/>
        <v>0.16</v>
      </c>
      <c r="U748" t="s">
        <v>376</v>
      </c>
      <c r="V748" t="s">
        <v>48</v>
      </c>
      <c r="W748" t="s">
        <v>46</v>
      </c>
      <c r="X748" t="s">
        <v>325</v>
      </c>
      <c r="Y748" t="s">
        <v>334</v>
      </c>
      <c r="Z748">
        <v>3</v>
      </c>
      <c r="AA748">
        <v>800</v>
      </c>
      <c r="AB748">
        <v>33</v>
      </c>
      <c r="AC748">
        <v>31.2</v>
      </c>
      <c r="AD748">
        <v>1.06</v>
      </c>
      <c r="AE748">
        <v>6</v>
      </c>
      <c r="AF748">
        <v>88</v>
      </c>
      <c r="AG748">
        <v>58.8</v>
      </c>
      <c r="AH748">
        <v>49.38</v>
      </c>
      <c r="AI748">
        <v>16</v>
      </c>
    </row>
    <row r="749" spans="1:35" x14ac:dyDescent="0.25">
      <c r="A749">
        <v>748</v>
      </c>
      <c r="B749" t="s">
        <v>375</v>
      </c>
      <c r="C749" s="2">
        <v>42417</v>
      </c>
      <c r="G749">
        <f t="shared" si="12"/>
        <v>1</v>
      </c>
      <c r="H749" t="str">
        <f t="shared" si="13"/>
        <v>PHYLIT</v>
      </c>
      <c r="K749" t="s">
        <v>335</v>
      </c>
      <c r="N749" t="str">
        <f t="shared" si="14"/>
        <v>Fynbos</v>
      </c>
      <c r="P749">
        <v>88</v>
      </c>
      <c r="Q749">
        <v>789.3</v>
      </c>
      <c r="S749">
        <v>32.6</v>
      </c>
      <c r="T749">
        <f t="shared" si="11"/>
        <v>0.32600000000000001</v>
      </c>
      <c r="U749" t="s">
        <v>376</v>
      </c>
      <c r="V749" t="s">
        <v>48</v>
      </c>
      <c r="W749" t="s">
        <v>46</v>
      </c>
      <c r="X749" t="s">
        <v>325</v>
      </c>
      <c r="Y749" t="s">
        <v>336</v>
      </c>
      <c r="Z749">
        <v>1</v>
      </c>
      <c r="AA749">
        <v>789.3</v>
      </c>
      <c r="AB749">
        <v>13</v>
      </c>
      <c r="AC749">
        <v>18.5</v>
      </c>
      <c r="AD749">
        <v>0.7</v>
      </c>
      <c r="AE749">
        <v>6</v>
      </c>
      <c r="AF749">
        <v>88</v>
      </c>
      <c r="AG749">
        <v>34</v>
      </c>
      <c r="AH749">
        <v>22.9</v>
      </c>
      <c r="AI749">
        <v>32.6</v>
      </c>
    </row>
    <row r="750" spans="1:35" x14ac:dyDescent="0.25">
      <c r="A750">
        <v>749</v>
      </c>
      <c r="B750" t="s">
        <v>375</v>
      </c>
      <c r="C750" s="2">
        <v>42417</v>
      </c>
      <c r="G750">
        <f t="shared" si="12"/>
        <v>2</v>
      </c>
      <c r="H750" t="str">
        <f t="shared" si="13"/>
        <v>PHYLIT</v>
      </c>
      <c r="K750" t="s">
        <v>335</v>
      </c>
      <c r="N750" t="str">
        <f t="shared" si="14"/>
        <v>Fynbos</v>
      </c>
      <c r="P750">
        <v>38</v>
      </c>
      <c r="Q750">
        <v>406.5</v>
      </c>
      <c r="S750">
        <v>31.4</v>
      </c>
      <c r="T750">
        <f t="shared" si="11"/>
        <v>0.314</v>
      </c>
      <c r="U750" t="s">
        <v>376</v>
      </c>
      <c r="V750" t="s">
        <v>48</v>
      </c>
      <c r="W750" t="s">
        <v>46</v>
      </c>
      <c r="X750" t="s">
        <v>325</v>
      </c>
      <c r="Y750" t="s">
        <v>336</v>
      </c>
      <c r="Z750">
        <v>2</v>
      </c>
      <c r="AA750">
        <v>406.5</v>
      </c>
      <c r="AB750">
        <v>14</v>
      </c>
      <c r="AC750">
        <v>12.4</v>
      </c>
      <c r="AD750">
        <v>1.1299999999999999</v>
      </c>
      <c r="AE750">
        <v>4</v>
      </c>
      <c r="AF750">
        <v>38</v>
      </c>
      <c r="AG750">
        <v>37.4</v>
      </c>
      <c r="AH750">
        <v>25.67</v>
      </c>
      <c r="AI750">
        <v>31.4</v>
      </c>
    </row>
    <row r="751" spans="1:35" x14ac:dyDescent="0.25">
      <c r="A751">
        <v>750</v>
      </c>
      <c r="B751" t="s">
        <v>375</v>
      </c>
      <c r="C751" s="2">
        <v>42417</v>
      </c>
      <c r="G751">
        <f t="shared" si="12"/>
        <v>3</v>
      </c>
      <c r="H751" t="str">
        <f t="shared" si="13"/>
        <v>PHYLIT</v>
      </c>
      <c r="K751" t="s">
        <v>335</v>
      </c>
      <c r="N751" t="str">
        <f t="shared" si="14"/>
        <v>Fynbos</v>
      </c>
      <c r="P751">
        <v>63</v>
      </c>
      <c r="Q751">
        <v>619.5</v>
      </c>
      <c r="S751">
        <v>37.4</v>
      </c>
      <c r="T751">
        <f t="shared" si="11"/>
        <v>0.374</v>
      </c>
      <c r="U751" t="s">
        <v>376</v>
      </c>
      <c r="V751" t="s">
        <v>48</v>
      </c>
      <c r="W751" t="s">
        <v>46</v>
      </c>
      <c r="X751" t="s">
        <v>325</v>
      </c>
      <c r="Y751" t="s">
        <v>336</v>
      </c>
      <c r="Z751">
        <v>3</v>
      </c>
      <c r="AA751">
        <v>619.5</v>
      </c>
      <c r="AB751">
        <v>21</v>
      </c>
      <c r="AC751">
        <v>25</v>
      </c>
      <c r="AD751">
        <v>0.84</v>
      </c>
      <c r="AE751">
        <v>5</v>
      </c>
      <c r="AF751">
        <v>63</v>
      </c>
      <c r="AG751">
        <v>38.4</v>
      </c>
      <c r="AH751">
        <v>24.05</v>
      </c>
      <c r="AI751">
        <v>37.4</v>
      </c>
    </row>
    <row r="752" spans="1:35" x14ac:dyDescent="0.25">
      <c r="A752">
        <v>751</v>
      </c>
      <c r="B752" t="s">
        <v>375</v>
      </c>
      <c r="C752" s="2">
        <v>42417</v>
      </c>
      <c r="G752">
        <f t="shared" si="12"/>
        <v>1</v>
      </c>
      <c r="H752" t="str">
        <f t="shared" si="13"/>
        <v>ANTAET</v>
      </c>
      <c r="K752" t="s">
        <v>337</v>
      </c>
      <c r="N752" t="str">
        <f t="shared" si="14"/>
        <v>Fynbos</v>
      </c>
      <c r="P752">
        <v>18</v>
      </c>
      <c r="Q752">
        <v>477.2</v>
      </c>
      <c r="S752">
        <v>41.8</v>
      </c>
      <c r="T752">
        <f t="shared" si="11"/>
        <v>0.41799999999999998</v>
      </c>
      <c r="U752" t="s">
        <v>376</v>
      </c>
      <c r="V752" t="s">
        <v>48</v>
      </c>
      <c r="W752" t="s">
        <v>46</v>
      </c>
      <c r="X752" t="s">
        <v>325</v>
      </c>
      <c r="Y752" t="s">
        <v>338</v>
      </c>
      <c r="Z752">
        <v>1</v>
      </c>
      <c r="AA752">
        <v>477.2</v>
      </c>
      <c r="AB752">
        <v>20</v>
      </c>
      <c r="AC752">
        <v>12.3</v>
      </c>
      <c r="AD752">
        <v>1.63</v>
      </c>
      <c r="AE752">
        <v>3</v>
      </c>
      <c r="AF752">
        <v>18</v>
      </c>
      <c r="AG752">
        <v>60.8</v>
      </c>
      <c r="AH752">
        <v>35.4</v>
      </c>
      <c r="AI752">
        <v>41.8</v>
      </c>
    </row>
    <row r="753" spans="1:36" x14ac:dyDescent="0.25">
      <c r="A753">
        <v>752</v>
      </c>
      <c r="B753" t="s">
        <v>375</v>
      </c>
      <c r="C753" s="2">
        <v>42417</v>
      </c>
      <c r="G753">
        <f t="shared" si="12"/>
        <v>2</v>
      </c>
      <c r="H753" t="str">
        <f t="shared" si="13"/>
        <v>ANTAET</v>
      </c>
      <c r="K753" t="s">
        <v>337</v>
      </c>
      <c r="N753" t="str">
        <f t="shared" si="14"/>
        <v>Fynbos</v>
      </c>
      <c r="P753">
        <v>5.5</v>
      </c>
      <c r="Q753">
        <v>327.9</v>
      </c>
      <c r="S753">
        <v>42.4</v>
      </c>
      <c r="T753">
        <f t="shared" si="11"/>
        <v>0.42399999999999999</v>
      </c>
      <c r="U753" t="s">
        <v>376</v>
      </c>
      <c r="V753" t="s">
        <v>48</v>
      </c>
      <c r="W753" t="s">
        <v>46</v>
      </c>
      <c r="X753" t="s">
        <v>325</v>
      </c>
      <c r="Y753" t="s">
        <v>338</v>
      </c>
      <c r="Z753">
        <v>2</v>
      </c>
      <c r="AA753">
        <v>327.9</v>
      </c>
      <c r="AB753">
        <v>6</v>
      </c>
      <c r="AC753">
        <v>11</v>
      </c>
      <c r="AD753">
        <v>0.55000000000000004</v>
      </c>
      <c r="AE753">
        <v>2</v>
      </c>
      <c r="AF753">
        <v>5.5</v>
      </c>
      <c r="AG753">
        <v>45</v>
      </c>
      <c r="AH753">
        <v>25.9</v>
      </c>
      <c r="AI753">
        <v>42.4</v>
      </c>
    </row>
    <row r="754" spans="1:36" x14ac:dyDescent="0.25">
      <c r="A754">
        <v>753</v>
      </c>
      <c r="B754" t="s">
        <v>375</v>
      </c>
      <c r="C754" s="2">
        <v>42417</v>
      </c>
      <c r="G754">
        <f t="shared" si="12"/>
        <v>3</v>
      </c>
      <c r="H754" t="str">
        <f t="shared" si="13"/>
        <v>ANTAET</v>
      </c>
      <c r="K754" t="s">
        <v>337</v>
      </c>
      <c r="N754" t="str">
        <f t="shared" si="14"/>
        <v>Fynbos</v>
      </c>
      <c r="P754">
        <v>18</v>
      </c>
      <c r="Q754">
        <v>542.70000000000005</v>
      </c>
      <c r="S754">
        <v>30.9</v>
      </c>
      <c r="T754">
        <f t="shared" si="11"/>
        <v>0.309</v>
      </c>
      <c r="U754" t="s">
        <v>376</v>
      </c>
      <c r="V754" t="s">
        <v>48</v>
      </c>
      <c r="W754" t="s">
        <v>46</v>
      </c>
      <c r="X754" t="s">
        <v>325</v>
      </c>
      <c r="Y754" t="s">
        <v>338</v>
      </c>
      <c r="Z754">
        <v>3</v>
      </c>
      <c r="AA754">
        <v>542.70000000000005</v>
      </c>
      <c r="AB754">
        <v>23</v>
      </c>
      <c r="AC754">
        <v>11.8</v>
      </c>
      <c r="AD754">
        <v>1.95</v>
      </c>
      <c r="AE754">
        <v>3</v>
      </c>
      <c r="AF754">
        <v>18</v>
      </c>
      <c r="AG754">
        <v>39.799999999999997</v>
      </c>
      <c r="AH754">
        <v>27.52</v>
      </c>
      <c r="AI754">
        <v>30.9</v>
      </c>
    </row>
    <row r="755" spans="1:36" x14ac:dyDescent="0.25">
      <c r="A755">
        <v>754</v>
      </c>
      <c r="B755" t="s">
        <v>375</v>
      </c>
      <c r="C755" s="2">
        <v>42417</v>
      </c>
      <c r="G755">
        <f t="shared" si="12"/>
        <v>1</v>
      </c>
      <c r="H755" t="str">
        <f t="shared" si="13"/>
        <v>SYNSOR</v>
      </c>
      <c r="K755" t="s">
        <v>339</v>
      </c>
      <c r="N755" t="str">
        <f t="shared" si="14"/>
        <v>Fynbos</v>
      </c>
      <c r="P755">
        <v>63</v>
      </c>
      <c r="Q755">
        <v>648.20000000000005</v>
      </c>
      <c r="S755">
        <v>48.1</v>
      </c>
      <c r="T755">
        <f t="shared" si="11"/>
        <v>0.48100000000000004</v>
      </c>
      <c r="U755" t="s">
        <v>376</v>
      </c>
      <c r="V755" t="s">
        <v>48</v>
      </c>
      <c r="W755" t="s">
        <v>46</v>
      </c>
      <c r="X755" t="s">
        <v>325</v>
      </c>
      <c r="Y755" t="s">
        <v>340</v>
      </c>
      <c r="Z755">
        <v>1</v>
      </c>
      <c r="AA755">
        <v>648.20000000000005</v>
      </c>
      <c r="AB755">
        <v>21</v>
      </c>
      <c r="AC755">
        <v>23.6</v>
      </c>
      <c r="AD755">
        <v>0.89</v>
      </c>
      <c r="AE755">
        <v>5</v>
      </c>
      <c r="AF755">
        <v>63</v>
      </c>
      <c r="AG755">
        <v>59.2</v>
      </c>
      <c r="AH755">
        <v>30.7</v>
      </c>
      <c r="AI755">
        <v>48.1</v>
      </c>
    </row>
    <row r="756" spans="1:36" x14ac:dyDescent="0.25">
      <c r="A756">
        <v>755</v>
      </c>
      <c r="B756" t="s">
        <v>375</v>
      </c>
      <c r="C756" s="2">
        <v>42417</v>
      </c>
      <c r="G756">
        <f t="shared" si="12"/>
        <v>2</v>
      </c>
      <c r="H756" t="str">
        <f t="shared" si="13"/>
        <v>SYNSOR</v>
      </c>
      <c r="K756" t="s">
        <v>339</v>
      </c>
      <c r="N756" t="str">
        <f t="shared" si="14"/>
        <v>Fynbos</v>
      </c>
      <c r="P756">
        <v>18</v>
      </c>
      <c r="Q756">
        <v>676.9</v>
      </c>
      <c r="S756">
        <v>37.4</v>
      </c>
      <c r="T756">
        <f t="shared" si="11"/>
        <v>0.374</v>
      </c>
      <c r="U756" t="s">
        <v>376</v>
      </c>
      <c r="V756" t="s">
        <v>48</v>
      </c>
      <c r="W756" t="s">
        <v>46</v>
      </c>
      <c r="X756" t="s">
        <v>325</v>
      </c>
      <c r="Y756" t="s">
        <v>340</v>
      </c>
      <c r="Z756">
        <v>2</v>
      </c>
      <c r="AA756">
        <v>676.9</v>
      </c>
      <c r="AB756">
        <v>12</v>
      </c>
      <c r="AC756">
        <v>5.8</v>
      </c>
      <c r="AD756">
        <v>2.0699999999999998</v>
      </c>
      <c r="AE756">
        <v>3</v>
      </c>
      <c r="AF756">
        <v>18</v>
      </c>
      <c r="AG756">
        <v>83.6</v>
      </c>
      <c r="AH756">
        <v>52.32</v>
      </c>
      <c r="AI756">
        <v>37.4</v>
      </c>
    </row>
    <row r="757" spans="1:36" x14ac:dyDescent="0.25">
      <c r="A757">
        <v>756</v>
      </c>
      <c r="B757" t="s">
        <v>375</v>
      </c>
      <c r="C757" s="2">
        <v>42417</v>
      </c>
      <c r="G757">
        <f t="shared" si="12"/>
        <v>3</v>
      </c>
      <c r="H757" t="str">
        <f t="shared" si="13"/>
        <v>SYNSOR</v>
      </c>
      <c r="K757" t="s">
        <v>339</v>
      </c>
      <c r="N757" t="str">
        <f t="shared" si="14"/>
        <v>Fynbos</v>
      </c>
      <c r="P757">
        <v>38</v>
      </c>
      <c r="Q757">
        <v>778.3</v>
      </c>
      <c r="S757">
        <v>43.9</v>
      </c>
      <c r="T757">
        <f t="shared" si="11"/>
        <v>0.439</v>
      </c>
      <c r="U757" t="s">
        <v>376</v>
      </c>
      <c r="V757" t="s">
        <v>48</v>
      </c>
      <c r="W757" t="s">
        <v>46</v>
      </c>
      <c r="X757" t="s">
        <v>325</v>
      </c>
      <c r="Y757" t="s">
        <v>340</v>
      </c>
      <c r="Z757">
        <v>3</v>
      </c>
      <c r="AA757">
        <v>778.3</v>
      </c>
      <c r="AB757">
        <v>25</v>
      </c>
      <c r="AC757">
        <v>14.8</v>
      </c>
      <c r="AD757">
        <v>1.69</v>
      </c>
      <c r="AE757">
        <v>4</v>
      </c>
      <c r="AF757">
        <v>38</v>
      </c>
      <c r="AG757">
        <v>158.4</v>
      </c>
      <c r="AH757">
        <v>88.84</v>
      </c>
      <c r="AI757">
        <v>43.9</v>
      </c>
    </row>
    <row r="758" spans="1:36" x14ac:dyDescent="0.25">
      <c r="A758">
        <v>757</v>
      </c>
      <c r="B758" t="s">
        <v>375</v>
      </c>
      <c r="C758" s="2">
        <v>42417</v>
      </c>
      <c r="G758">
        <f t="shared" si="12"/>
        <v>1</v>
      </c>
      <c r="H758" t="str">
        <f t="shared" si="13"/>
        <v>METDEN</v>
      </c>
      <c r="K758" t="s">
        <v>341</v>
      </c>
      <c r="N758" t="str">
        <f t="shared" si="14"/>
        <v>Fynbos</v>
      </c>
      <c r="P758">
        <v>63</v>
      </c>
      <c r="Q758">
        <v>736.4</v>
      </c>
      <c r="S758">
        <v>51.1</v>
      </c>
      <c r="T758">
        <f t="shared" si="11"/>
        <v>0.51100000000000001</v>
      </c>
      <c r="U758" t="s">
        <v>376</v>
      </c>
      <c r="V758" t="s">
        <v>48</v>
      </c>
      <c r="W758" t="s">
        <v>46</v>
      </c>
      <c r="X758" t="s">
        <v>325</v>
      </c>
      <c r="Y758" t="s">
        <v>342</v>
      </c>
      <c r="Z758">
        <v>1</v>
      </c>
      <c r="AA758">
        <v>736.4</v>
      </c>
      <c r="AB758">
        <v>17.5</v>
      </c>
      <c r="AC758">
        <v>86.9</v>
      </c>
      <c r="AD758">
        <v>0.2</v>
      </c>
      <c r="AE758">
        <v>5</v>
      </c>
      <c r="AF758">
        <v>63</v>
      </c>
      <c r="AG758">
        <v>167</v>
      </c>
      <c r="AH758">
        <v>81.59</v>
      </c>
      <c r="AI758">
        <v>51.1</v>
      </c>
      <c r="AJ758" t="s">
        <v>343</v>
      </c>
    </row>
    <row r="759" spans="1:36" x14ac:dyDescent="0.25">
      <c r="A759">
        <v>758</v>
      </c>
      <c r="B759" t="s">
        <v>375</v>
      </c>
      <c r="C759" s="2">
        <v>42417</v>
      </c>
      <c r="G759">
        <f t="shared" si="12"/>
        <v>2</v>
      </c>
      <c r="H759" t="str">
        <f t="shared" si="13"/>
        <v>METDEN</v>
      </c>
      <c r="K759" t="s">
        <v>341</v>
      </c>
      <c r="N759" t="str">
        <f t="shared" si="14"/>
        <v>Fynbos</v>
      </c>
      <c r="P759">
        <v>38</v>
      </c>
      <c r="Q759">
        <v>734</v>
      </c>
      <c r="S759">
        <v>50.4</v>
      </c>
      <c r="T759">
        <f t="shared" si="11"/>
        <v>0.504</v>
      </c>
      <c r="U759" t="s">
        <v>376</v>
      </c>
      <c r="V759" t="s">
        <v>48</v>
      </c>
      <c r="W759" t="s">
        <v>46</v>
      </c>
      <c r="X759" t="s">
        <v>325</v>
      </c>
      <c r="Y759" t="s">
        <v>342</v>
      </c>
      <c r="Z759">
        <v>2</v>
      </c>
      <c r="AA759">
        <v>734</v>
      </c>
      <c r="AB759">
        <v>25</v>
      </c>
      <c r="AC759">
        <v>30.3</v>
      </c>
      <c r="AD759">
        <v>0.83</v>
      </c>
      <c r="AE759">
        <v>4</v>
      </c>
      <c r="AF759">
        <v>38</v>
      </c>
      <c r="AG759">
        <v>236</v>
      </c>
      <c r="AH759">
        <v>116.94</v>
      </c>
      <c r="AI759">
        <v>50.4</v>
      </c>
      <c r="AJ759" t="s">
        <v>343</v>
      </c>
    </row>
    <row r="760" spans="1:36" x14ac:dyDescent="0.25">
      <c r="A760">
        <v>759</v>
      </c>
      <c r="B760" t="s">
        <v>375</v>
      </c>
      <c r="C760" s="2">
        <v>42417</v>
      </c>
      <c r="G760">
        <f t="shared" si="12"/>
        <v>3</v>
      </c>
      <c r="H760" t="str">
        <f t="shared" si="13"/>
        <v>METDEN</v>
      </c>
      <c r="K760" t="s">
        <v>341</v>
      </c>
      <c r="N760" t="str">
        <f t="shared" si="14"/>
        <v>Fynbos</v>
      </c>
      <c r="P760">
        <v>18</v>
      </c>
      <c r="Q760">
        <v>446.9</v>
      </c>
      <c r="S760">
        <v>40.200000000000003</v>
      </c>
      <c r="T760">
        <f t="shared" si="11"/>
        <v>0.40200000000000002</v>
      </c>
      <c r="U760" t="s">
        <v>376</v>
      </c>
      <c r="V760" t="s">
        <v>48</v>
      </c>
      <c r="W760" t="s">
        <v>46</v>
      </c>
      <c r="X760" t="s">
        <v>325</v>
      </c>
      <c r="Y760" t="s">
        <v>342</v>
      </c>
      <c r="Z760">
        <v>3</v>
      </c>
      <c r="AA760">
        <v>446.9</v>
      </c>
      <c r="AB760">
        <v>35</v>
      </c>
      <c r="AC760">
        <v>26.9</v>
      </c>
      <c r="AD760">
        <v>1.3</v>
      </c>
      <c r="AE760">
        <v>3</v>
      </c>
      <c r="AF760">
        <v>18</v>
      </c>
      <c r="AG760">
        <v>164.4</v>
      </c>
      <c r="AH760">
        <v>98.38</v>
      </c>
      <c r="AI760">
        <v>40.200000000000003</v>
      </c>
      <c r="AJ760" t="s">
        <v>343</v>
      </c>
    </row>
    <row r="761" spans="1:36" x14ac:dyDescent="0.25">
      <c r="A761">
        <v>760</v>
      </c>
      <c r="B761" t="s">
        <v>375</v>
      </c>
      <c r="C761" s="2">
        <v>42417</v>
      </c>
      <c r="G761">
        <f t="shared" si="12"/>
        <v>1</v>
      </c>
      <c r="H761" t="str">
        <f t="shared" si="13"/>
        <v>HELCYM</v>
      </c>
      <c r="K761" t="s">
        <v>344</v>
      </c>
      <c r="N761" t="str">
        <f t="shared" si="14"/>
        <v>Fynbos</v>
      </c>
      <c r="P761">
        <v>88</v>
      </c>
      <c r="Q761">
        <v>800</v>
      </c>
      <c r="S761">
        <v>34</v>
      </c>
      <c r="T761">
        <f t="shared" si="11"/>
        <v>0.34</v>
      </c>
      <c r="U761" t="s">
        <v>376</v>
      </c>
      <c r="V761" t="s">
        <v>48</v>
      </c>
      <c r="W761" t="s">
        <v>46</v>
      </c>
      <c r="X761" t="s">
        <v>325</v>
      </c>
      <c r="Y761" t="s">
        <v>345</v>
      </c>
      <c r="Z761">
        <v>1</v>
      </c>
      <c r="AA761">
        <v>800</v>
      </c>
      <c r="AB761">
        <v>38</v>
      </c>
      <c r="AC761">
        <v>25</v>
      </c>
      <c r="AD761">
        <v>1.52</v>
      </c>
      <c r="AE761">
        <v>6</v>
      </c>
      <c r="AF761">
        <v>88</v>
      </c>
      <c r="AG761">
        <v>51.6</v>
      </c>
      <c r="AH761">
        <v>34.04</v>
      </c>
      <c r="AI761">
        <v>34</v>
      </c>
      <c r="AJ761" t="s">
        <v>343</v>
      </c>
    </row>
    <row r="762" spans="1:36" x14ac:dyDescent="0.25">
      <c r="A762">
        <v>761</v>
      </c>
      <c r="B762" t="s">
        <v>375</v>
      </c>
      <c r="C762" s="2">
        <v>42417</v>
      </c>
      <c r="G762">
        <f t="shared" si="12"/>
        <v>2</v>
      </c>
      <c r="H762" t="str">
        <f t="shared" si="13"/>
        <v>HELCYM</v>
      </c>
      <c r="K762" t="s">
        <v>344</v>
      </c>
      <c r="N762" t="str">
        <f t="shared" si="14"/>
        <v>Fynbos</v>
      </c>
      <c r="P762">
        <v>88</v>
      </c>
      <c r="Q762">
        <v>722.9</v>
      </c>
      <c r="S762">
        <v>33.4</v>
      </c>
      <c r="T762">
        <f t="shared" si="11"/>
        <v>0.33399999999999996</v>
      </c>
      <c r="U762" t="s">
        <v>376</v>
      </c>
      <c r="V762" t="s">
        <v>48</v>
      </c>
      <c r="W762" t="s">
        <v>46</v>
      </c>
      <c r="X762" t="s">
        <v>325</v>
      </c>
      <c r="Y762" t="s">
        <v>345</v>
      </c>
      <c r="Z762">
        <v>2</v>
      </c>
      <c r="AA762">
        <v>722.9</v>
      </c>
      <c r="AB762">
        <v>40.5</v>
      </c>
      <c r="AC762">
        <v>20.399999999999999</v>
      </c>
      <c r="AD762">
        <v>1.99</v>
      </c>
      <c r="AE762">
        <v>6</v>
      </c>
      <c r="AF762">
        <v>88</v>
      </c>
      <c r="AG762">
        <v>56.2</v>
      </c>
      <c r="AH762">
        <v>37.409999999999997</v>
      </c>
      <c r="AI762">
        <v>33.4</v>
      </c>
      <c r="AJ762" t="s">
        <v>343</v>
      </c>
    </row>
    <row r="763" spans="1:36" x14ac:dyDescent="0.25">
      <c r="A763">
        <v>762</v>
      </c>
      <c r="B763" t="s">
        <v>375</v>
      </c>
      <c r="C763" s="2">
        <v>42417</v>
      </c>
      <c r="G763">
        <f t="shared" si="12"/>
        <v>3</v>
      </c>
      <c r="H763" t="str">
        <f t="shared" si="13"/>
        <v>HELCYM</v>
      </c>
      <c r="K763" t="s">
        <v>344</v>
      </c>
      <c r="N763" t="str">
        <f t="shared" si="14"/>
        <v>Fynbos</v>
      </c>
      <c r="P763">
        <v>88</v>
      </c>
      <c r="Q763">
        <v>739.6</v>
      </c>
      <c r="S763">
        <v>21</v>
      </c>
      <c r="T763">
        <f t="shared" si="11"/>
        <v>0.21</v>
      </c>
      <c r="U763" t="s">
        <v>376</v>
      </c>
      <c r="V763" t="s">
        <v>48</v>
      </c>
      <c r="W763" t="s">
        <v>46</v>
      </c>
      <c r="X763" t="s">
        <v>325</v>
      </c>
      <c r="Y763" t="s">
        <v>345</v>
      </c>
      <c r="Z763">
        <v>3</v>
      </c>
      <c r="AA763">
        <v>739.6</v>
      </c>
      <c r="AB763">
        <v>35</v>
      </c>
      <c r="AC763">
        <v>28</v>
      </c>
      <c r="AD763">
        <v>1.25</v>
      </c>
      <c r="AE763">
        <v>6</v>
      </c>
      <c r="AF763">
        <v>88</v>
      </c>
      <c r="AG763">
        <v>61.8</v>
      </c>
      <c r="AH763">
        <v>48.83</v>
      </c>
      <c r="AI763">
        <v>21</v>
      </c>
      <c r="AJ763" t="s">
        <v>343</v>
      </c>
    </row>
    <row r="764" spans="1:36" x14ac:dyDescent="0.25">
      <c r="A764">
        <v>763</v>
      </c>
      <c r="B764" t="s">
        <v>375</v>
      </c>
      <c r="C764" s="2">
        <v>42419</v>
      </c>
      <c r="G764">
        <f t="shared" si="12"/>
        <v>1</v>
      </c>
      <c r="H764" t="str">
        <f t="shared" si="13"/>
        <v>BRADIS</v>
      </c>
      <c r="K764" t="s">
        <v>346</v>
      </c>
      <c r="N764" t="str">
        <f t="shared" si="14"/>
        <v>Garden</v>
      </c>
      <c r="P764">
        <v>0.5</v>
      </c>
      <c r="Q764">
        <v>271.10000000000002</v>
      </c>
      <c r="S764">
        <v>54.9</v>
      </c>
      <c r="T764">
        <f t="shared" si="11"/>
        <v>0.54899999999999993</v>
      </c>
      <c r="U764" t="s">
        <v>376</v>
      </c>
      <c r="V764" t="s">
        <v>347</v>
      </c>
      <c r="W764" t="s">
        <v>347</v>
      </c>
      <c r="X764" t="s">
        <v>325</v>
      </c>
      <c r="Y764" t="s">
        <v>348</v>
      </c>
      <c r="Z764">
        <v>1</v>
      </c>
      <c r="AA764">
        <v>271.10000000000002</v>
      </c>
      <c r="AB764">
        <v>5</v>
      </c>
      <c r="AC764">
        <v>16</v>
      </c>
      <c r="AD764">
        <v>0.31</v>
      </c>
      <c r="AE764">
        <v>1</v>
      </c>
      <c r="AF764">
        <v>0.5</v>
      </c>
      <c r="AG764">
        <v>254.4</v>
      </c>
      <c r="AH764">
        <v>114.73</v>
      </c>
      <c r="AI764">
        <v>54.9</v>
      </c>
    </row>
    <row r="765" spans="1:36" x14ac:dyDescent="0.25">
      <c r="A765">
        <v>764</v>
      </c>
      <c r="B765" t="s">
        <v>375</v>
      </c>
      <c r="C765" s="2">
        <v>42419</v>
      </c>
      <c r="G765">
        <f t="shared" si="12"/>
        <v>2</v>
      </c>
      <c r="H765" t="str">
        <f t="shared" si="13"/>
        <v>BRADIS</v>
      </c>
      <c r="K765" t="s">
        <v>346</v>
      </c>
      <c r="N765" t="str">
        <f t="shared" si="14"/>
        <v>Garden</v>
      </c>
      <c r="P765">
        <v>18</v>
      </c>
      <c r="Q765">
        <v>693.5</v>
      </c>
      <c r="S765">
        <v>57.9</v>
      </c>
      <c r="T765">
        <f t="shared" si="11"/>
        <v>0.57899999999999996</v>
      </c>
      <c r="U765" t="s">
        <v>376</v>
      </c>
      <c r="V765" t="s">
        <v>347</v>
      </c>
      <c r="W765" t="s">
        <v>347</v>
      </c>
      <c r="X765" t="s">
        <v>325</v>
      </c>
      <c r="Y765" t="s">
        <v>348</v>
      </c>
      <c r="Z765">
        <v>2</v>
      </c>
      <c r="AA765">
        <v>693.5</v>
      </c>
      <c r="AB765">
        <v>13</v>
      </c>
      <c r="AC765">
        <v>28.4</v>
      </c>
      <c r="AD765">
        <v>0.46</v>
      </c>
      <c r="AE765">
        <v>3</v>
      </c>
      <c r="AF765">
        <v>18</v>
      </c>
      <c r="AG765">
        <v>182</v>
      </c>
      <c r="AH765">
        <v>76.67</v>
      </c>
      <c r="AI765">
        <v>57.9</v>
      </c>
    </row>
    <row r="766" spans="1:36" x14ac:dyDescent="0.25">
      <c r="A766">
        <v>765</v>
      </c>
      <c r="B766" t="s">
        <v>375</v>
      </c>
      <c r="C766" s="2">
        <v>42419</v>
      </c>
      <c r="G766">
        <f t="shared" si="12"/>
        <v>3</v>
      </c>
      <c r="H766" t="str">
        <f t="shared" si="13"/>
        <v>BRADIS</v>
      </c>
      <c r="K766" t="s">
        <v>346</v>
      </c>
      <c r="N766" t="str">
        <f t="shared" si="14"/>
        <v>Garden</v>
      </c>
      <c r="P766">
        <v>18</v>
      </c>
      <c r="Q766">
        <v>520.70000000000005</v>
      </c>
      <c r="S766">
        <v>56.6</v>
      </c>
      <c r="T766">
        <f t="shared" si="11"/>
        <v>0.56600000000000006</v>
      </c>
      <c r="U766" t="s">
        <v>376</v>
      </c>
      <c r="V766" t="s">
        <v>347</v>
      </c>
      <c r="W766" t="s">
        <v>347</v>
      </c>
      <c r="X766" t="s">
        <v>325</v>
      </c>
      <c r="Y766" t="s">
        <v>348</v>
      </c>
      <c r="Z766">
        <v>3</v>
      </c>
      <c r="AA766">
        <v>520.70000000000005</v>
      </c>
      <c r="AB766">
        <v>8</v>
      </c>
      <c r="AC766">
        <v>16.7</v>
      </c>
      <c r="AD766">
        <v>0.48</v>
      </c>
      <c r="AE766">
        <v>3</v>
      </c>
      <c r="AF766">
        <v>18</v>
      </c>
      <c r="AG766">
        <v>167.4</v>
      </c>
      <c r="AH766">
        <v>72.58</v>
      </c>
      <c r="AI766">
        <v>56.6</v>
      </c>
    </row>
    <row r="767" spans="1:36" x14ac:dyDescent="0.25">
      <c r="A767">
        <v>766</v>
      </c>
      <c r="B767" t="s">
        <v>375</v>
      </c>
      <c r="C767" s="2">
        <v>42419</v>
      </c>
      <c r="G767">
        <f t="shared" si="12"/>
        <v>1</v>
      </c>
      <c r="H767" t="str">
        <f t="shared" si="13"/>
        <v>MYOEXC</v>
      </c>
      <c r="K767" t="s">
        <v>349</v>
      </c>
      <c r="N767" t="str">
        <f t="shared" si="14"/>
        <v>Garden</v>
      </c>
      <c r="P767">
        <v>0.5</v>
      </c>
      <c r="Q767">
        <v>465.9</v>
      </c>
      <c r="S767">
        <v>66.400000000000006</v>
      </c>
      <c r="T767">
        <f t="shared" si="11"/>
        <v>0.66400000000000003</v>
      </c>
      <c r="U767" t="s">
        <v>376</v>
      </c>
      <c r="V767" t="s">
        <v>347</v>
      </c>
      <c r="W767" t="s">
        <v>347</v>
      </c>
      <c r="X767" t="s">
        <v>325</v>
      </c>
      <c r="Y767" t="s">
        <v>350</v>
      </c>
      <c r="Z767">
        <v>1</v>
      </c>
      <c r="AA767">
        <v>465.9</v>
      </c>
      <c r="AB767">
        <v>5</v>
      </c>
      <c r="AC767">
        <v>8.3000000000000007</v>
      </c>
      <c r="AD767">
        <v>0.6</v>
      </c>
      <c r="AE767">
        <v>1</v>
      </c>
      <c r="AF767">
        <v>0.5</v>
      </c>
      <c r="AG767">
        <v>402</v>
      </c>
      <c r="AH767">
        <v>135.12</v>
      </c>
      <c r="AI767">
        <v>66.400000000000006</v>
      </c>
    </row>
    <row r="768" spans="1:36" x14ac:dyDescent="0.25">
      <c r="A768">
        <v>767</v>
      </c>
      <c r="B768" t="s">
        <v>375</v>
      </c>
      <c r="C768" s="2">
        <v>42419</v>
      </c>
      <c r="G768">
        <f t="shared" si="12"/>
        <v>2</v>
      </c>
      <c r="H768" t="str">
        <f t="shared" si="13"/>
        <v>MYOEXC</v>
      </c>
      <c r="K768" t="s">
        <v>349</v>
      </c>
      <c r="N768" t="str">
        <f t="shared" si="14"/>
        <v>Garden</v>
      </c>
      <c r="P768">
        <v>0.5</v>
      </c>
      <c r="Q768">
        <v>298</v>
      </c>
      <c r="S768">
        <v>68.3</v>
      </c>
      <c r="T768">
        <f t="shared" si="11"/>
        <v>0.68299999999999994</v>
      </c>
      <c r="U768" t="s">
        <v>376</v>
      </c>
      <c r="V768" t="s">
        <v>347</v>
      </c>
      <c r="W768" t="s">
        <v>347</v>
      </c>
      <c r="X768" t="s">
        <v>325</v>
      </c>
      <c r="Y768" t="s">
        <v>350</v>
      </c>
      <c r="Z768">
        <v>2</v>
      </c>
      <c r="AA768">
        <v>298</v>
      </c>
      <c r="AB768">
        <v>2</v>
      </c>
      <c r="AC768">
        <v>7.5</v>
      </c>
      <c r="AD768">
        <v>0.27</v>
      </c>
      <c r="AE768">
        <v>1</v>
      </c>
      <c r="AF768">
        <v>0.5</v>
      </c>
      <c r="AG768">
        <v>214</v>
      </c>
      <c r="AH768">
        <v>67.88</v>
      </c>
      <c r="AI768">
        <v>68.3</v>
      </c>
    </row>
    <row r="769" spans="1:35" x14ac:dyDescent="0.25">
      <c r="A769">
        <v>768</v>
      </c>
      <c r="B769" t="s">
        <v>375</v>
      </c>
      <c r="C769" s="2">
        <v>42419</v>
      </c>
      <c r="G769">
        <f t="shared" si="12"/>
        <v>3</v>
      </c>
      <c r="H769" t="str">
        <f t="shared" si="13"/>
        <v>MYOEXC</v>
      </c>
      <c r="K769" t="s">
        <v>349</v>
      </c>
      <c r="N769" t="str">
        <f t="shared" si="14"/>
        <v>Garden</v>
      </c>
      <c r="P769">
        <v>0.5</v>
      </c>
      <c r="Q769">
        <v>0</v>
      </c>
      <c r="S769">
        <v>64</v>
      </c>
      <c r="T769">
        <f t="shared" si="11"/>
        <v>0.64</v>
      </c>
      <c r="U769" t="s">
        <v>376</v>
      </c>
      <c r="V769" t="s">
        <v>347</v>
      </c>
      <c r="W769" t="s">
        <v>347</v>
      </c>
      <c r="X769" t="s">
        <v>325</v>
      </c>
      <c r="Y769" t="s">
        <v>350</v>
      </c>
      <c r="Z769">
        <v>3</v>
      </c>
      <c r="AA769">
        <v>0</v>
      </c>
      <c r="AB769">
        <v>0</v>
      </c>
      <c r="AC769">
        <v>0</v>
      </c>
      <c r="AD769">
        <v>0</v>
      </c>
      <c r="AE769">
        <v>1</v>
      </c>
      <c r="AF769">
        <v>0.5</v>
      </c>
      <c r="AG769">
        <v>326.39999999999998</v>
      </c>
      <c r="AH769">
        <v>117.44</v>
      </c>
      <c r="AI769">
        <v>64</v>
      </c>
    </row>
    <row r="770" spans="1:35" x14ac:dyDescent="0.25">
      <c r="A770">
        <v>769</v>
      </c>
      <c r="B770" t="s">
        <v>375</v>
      </c>
      <c r="C770" s="2">
        <v>42419</v>
      </c>
      <c r="G770">
        <f t="shared" si="12"/>
        <v>1</v>
      </c>
      <c r="H770" t="str">
        <f t="shared" si="13"/>
        <v>METSPP</v>
      </c>
      <c r="K770" t="s">
        <v>351</v>
      </c>
      <c r="N770" t="str">
        <f t="shared" si="14"/>
        <v>Garden</v>
      </c>
      <c r="P770">
        <v>5.5</v>
      </c>
      <c r="Q770">
        <v>588.1</v>
      </c>
      <c r="S770">
        <v>57.5</v>
      </c>
      <c r="T770">
        <f t="shared" si="11"/>
        <v>0.57499999999999996</v>
      </c>
      <c r="U770" t="s">
        <v>376</v>
      </c>
      <c r="V770" t="s">
        <v>347</v>
      </c>
      <c r="W770" t="s">
        <v>347</v>
      </c>
      <c r="X770" t="s">
        <v>325</v>
      </c>
      <c r="Y770" t="s">
        <v>352</v>
      </c>
      <c r="Z770">
        <v>1</v>
      </c>
      <c r="AA770">
        <v>588.1</v>
      </c>
      <c r="AB770">
        <v>6</v>
      </c>
      <c r="AC770">
        <v>16.600000000000001</v>
      </c>
      <c r="AD770">
        <v>0.36</v>
      </c>
      <c r="AE770">
        <v>2</v>
      </c>
      <c r="AF770">
        <v>5.5</v>
      </c>
      <c r="AG770">
        <v>208.8</v>
      </c>
      <c r="AH770">
        <v>88.69</v>
      </c>
      <c r="AI770">
        <v>57.5</v>
      </c>
    </row>
    <row r="771" spans="1:35" x14ac:dyDescent="0.25">
      <c r="A771">
        <v>770</v>
      </c>
      <c r="B771" t="s">
        <v>375</v>
      </c>
      <c r="C771" s="2">
        <v>42419</v>
      </c>
      <c r="G771">
        <f t="shared" si="12"/>
        <v>2</v>
      </c>
      <c r="H771" t="str">
        <f t="shared" si="13"/>
        <v>METSPP</v>
      </c>
      <c r="K771" t="s">
        <v>351</v>
      </c>
      <c r="N771" t="str">
        <f t="shared" si="14"/>
        <v>Garden</v>
      </c>
      <c r="P771">
        <v>63</v>
      </c>
      <c r="Q771">
        <v>800</v>
      </c>
      <c r="S771">
        <v>59.5</v>
      </c>
      <c r="T771">
        <f t="shared" ref="T771:T799" si="15">S771/100</f>
        <v>0.59499999999999997</v>
      </c>
      <c r="U771" t="s">
        <v>376</v>
      </c>
      <c r="V771" t="s">
        <v>347</v>
      </c>
      <c r="W771" t="s">
        <v>347</v>
      </c>
      <c r="X771" t="s">
        <v>325</v>
      </c>
      <c r="Y771" t="s">
        <v>352</v>
      </c>
      <c r="Z771">
        <v>2</v>
      </c>
      <c r="AA771">
        <v>800</v>
      </c>
      <c r="AB771">
        <v>33</v>
      </c>
      <c r="AC771">
        <v>46.8</v>
      </c>
      <c r="AD771">
        <v>0.71</v>
      </c>
      <c r="AE771">
        <v>5</v>
      </c>
      <c r="AF771">
        <v>63</v>
      </c>
      <c r="AG771">
        <v>276</v>
      </c>
      <c r="AH771">
        <v>111.82</v>
      </c>
      <c r="AI771">
        <v>59.5</v>
      </c>
    </row>
    <row r="772" spans="1:35" x14ac:dyDescent="0.25">
      <c r="A772">
        <v>771</v>
      </c>
      <c r="B772" t="s">
        <v>375</v>
      </c>
      <c r="C772" s="2">
        <v>42419</v>
      </c>
      <c r="G772">
        <f t="shared" si="12"/>
        <v>3</v>
      </c>
      <c r="H772" t="str">
        <f t="shared" si="13"/>
        <v>METSPP</v>
      </c>
      <c r="K772" t="s">
        <v>351</v>
      </c>
      <c r="N772" t="str">
        <f t="shared" si="14"/>
        <v>Garden</v>
      </c>
      <c r="P772">
        <v>38</v>
      </c>
      <c r="Q772">
        <v>725</v>
      </c>
      <c r="S772">
        <v>62.2</v>
      </c>
      <c r="T772">
        <f t="shared" si="15"/>
        <v>0.622</v>
      </c>
      <c r="U772" t="s">
        <v>376</v>
      </c>
      <c r="V772" t="s">
        <v>347</v>
      </c>
      <c r="W772" t="s">
        <v>347</v>
      </c>
      <c r="X772" t="s">
        <v>325</v>
      </c>
      <c r="Y772" t="s">
        <v>352</v>
      </c>
      <c r="Z772">
        <v>3</v>
      </c>
      <c r="AA772">
        <v>725</v>
      </c>
      <c r="AB772">
        <v>39</v>
      </c>
      <c r="AC772">
        <v>65.099999999999994</v>
      </c>
      <c r="AD772">
        <v>0.6</v>
      </c>
      <c r="AE772">
        <v>4</v>
      </c>
      <c r="AF772">
        <v>38</v>
      </c>
      <c r="AG772">
        <v>285.60000000000002</v>
      </c>
      <c r="AH772">
        <v>108.08</v>
      </c>
      <c r="AI772">
        <v>62.2</v>
      </c>
    </row>
    <row r="773" spans="1:35" x14ac:dyDescent="0.25">
      <c r="A773">
        <v>772</v>
      </c>
      <c r="B773" t="s">
        <v>375</v>
      </c>
      <c r="C773" s="2">
        <v>42419</v>
      </c>
      <c r="G773">
        <f t="shared" si="12"/>
        <v>1</v>
      </c>
      <c r="H773" t="str">
        <f t="shared" si="13"/>
        <v>CHRMON</v>
      </c>
      <c r="K773" t="s">
        <v>353</v>
      </c>
      <c r="N773" t="str">
        <f t="shared" si="14"/>
        <v>Garden</v>
      </c>
      <c r="P773">
        <v>0.5</v>
      </c>
      <c r="Q773">
        <v>0</v>
      </c>
      <c r="S773">
        <v>78.2</v>
      </c>
      <c r="T773">
        <f t="shared" si="15"/>
        <v>0.78200000000000003</v>
      </c>
      <c r="U773" t="s">
        <v>376</v>
      </c>
      <c r="V773" t="s">
        <v>347</v>
      </c>
      <c r="W773" t="s">
        <v>347</v>
      </c>
      <c r="X773" t="s">
        <v>325</v>
      </c>
      <c r="Y773" t="s">
        <v>354</v>
      </c>
      <c r="Z773">
        <v>1</v>
      </c>
      <c r="AA773">
        <v>0</v>
      </c>
      <c r="AB773">
        <v>0</v>
      </c>
      <c r="AC773">
        <v>0</v>
      </c>
      <c r="AD773">
        <v>0</v>
      </c>
      <c r="AE773">
        <v>1</v>
      </c>
      <c r="AF773">
        <v>0.5</v>
      </c>
      <c r="AG773">
        <v>361.6</v>
      </c>
      <c r="AH773">
        <v>78.69</v>
      </c>
      <c r="AI773">
        <v>78.2</v>
      </c>
    </row>
    <row r="774" spans="1:35" x14ac:dyDescent="0.25">
      <c r="A774">
        <v>773</v>
      </c>
      <c r="B774" t="s">
        <v>375</v>
      </c>
      <c r="C774" s="2">
        <v>42419</v>
      </c>
      <c r="G774">
        <f t="shared" si="12"/>
        <v>2</v>
      </c>
      <c r="H774" t="str">
        <f t="shared" si="13"/>
        <v>CHRMON</v>
      </c>
      <c r="K774" t="s">
        <v>353</v>
      </c>
      <c r="N774" t="str">
        <f t="shared" si="14"/>
        <v>Garden</v>
      </c>
      <c r="P774">
        <v>0.5</v>
      </c>
      <c r="Q774">
        <v>0</v>
      </c>
      <c r="S774">
        <v>76</v>
      </c>
      <c r="T774">
        <f t="shared" si="15"/>
        <v>0.76</v>
      </c>
      <c r="U774" t="s">
        <v>376</v>
      </c>
      <c r="V774" t="s">
        <v>347</v>
      </c>
      <c r="W774" t="s">
        <v>347</v>
      </c>
      <c r="X774" t="s">
        <v>325</v>
      </c>
      <c r="Y774" t="s">
        <v>354</v>
      </c>
      <c r="Z774">
        <v>2</v>
      </c>
      <c r="AA774">
        <v>0</v>
      </c>
      <c r="AB774">
        <v>0</v>
      </c>
      <c r="AC774">
        <v>0</v>
      </c>
      <c r="AD774">
        <v>0</v>
      </c>
      <c r="AE774">
        <v>1</v>
      </c>
      <c r="AF774">
        <v>0.5</v>
      </c>
      <c r="AG774">
        <v>150.4</v>
      </c>
      <c r="AH774">
        <v>36.130000000000003</v>
      </c>
      <c r="AI774">
        <v>76</v>
      </c>
    </row>
    <row r="775" spans="1:35" x14ac:dyDescent="0.25">
      <c r="A775">
        <v>774</v>
      </c>
      <c r="B775" t="s">
        <v>375</v>
      </c>
      <c r="C775" s="2">
        <v>42419</v>
      </c>
      <c r="G775">
        <f t="shared" si="12"/>
        <v>3</v>
      </c>
      <c r="H775" t="str">
        <f t="shared" si="13"/>
        <v>CHRMON</v>
      </c>
      <c r="K775" t="s">
        <v>353</v>
      </c>
      <c r="N775" t="str">
        <f t="shared" si="14"/>
        <v>Garden</v>
      </c>
      <c r="P775">
        <v>0.5</v>
      </c>
      <c r="Q775">
        <v>0</v>
      </c>
      <c r="S775">
        <v>75.3</v>
      </c>
      <c r="T775">
        <f t="shared" si="15"/>
        <v>0.753</v>
      </c>
      <c r="U775" t="s">
        <v>376</v>
      </c>
      <c r="V775" t="s">
        <v>347</v>
      </c>
      <c r="W775" t="s">
        <v>347</v>
      </c>
      <c r="X775" t="s">
        <v>325</v>
      </c>
      <c r="Y775" t="s">
        <v>354</v>
      </c>
      <c r="Z775">
        <v>3</v>
      </c>
      <c r="AA775">
        <v>0</v>
      </c>
      <c r="AB775">
        <v>0</v>
      </c>
      <c r="AC775">
        <v>0</v>
      </c>
      <c r="AD775">
        <v>0</v>
      </c>
      <c r="AE775">
        <v>1</v>
      </c>
      <c r="AF775">
        <v>0.5</v>
      </c>
      <c r="AG775">
        <v>346.8</v>
      </c>
      <c r="AH775">
        <v>85.5</v>
      </c>
      <c r="AI775">
        <v>75.3</v>
      </c>
    </row>
    <row r="776" spans="1:35" x14ac:dyDescent="0.25">
      <c r="A776">
        <v>775</v>
      </c>
      <c r="B776" t="s">
        <v>375</v>
      </c>
      <c r="C776" s="2">
        <v>42417</v>
      </c>
      <c r="G776">
        <f t="shared" si="12"/>
        <v>1</v>
      </c>
      <c r="H776" t="str">
        <f t="shared" si="13"/>
        <v>RAPGIL</v>
      </c>
      <c r="K776" t="s">
        <v>355</v>
      </c>
      <c r="N776" t="s">
        <v>257</v>
      </c>
      <c r="P776">
        <v>5.5</v>
      </c>
      <c r="Q776">
        <v>408.3</v>
      </c>
      <c r="S776">
        <v>53.5</v>
      </c>
      <c r="T776">
        <f t="shared" si="15"/>
        <v>0.53500000000000003</v>
      </c>
      <c r="U776" t="s">
        <v>376</v>
      </c>
      <c r="V776" t="s">
        <v>48</v>
      </c>
      <c r="W776" t="s">
        <v>356</v>
      </c>
      <c r="X776" t="s">
        <v>357</v>
      </c>
      <c r="Y776" t="s">
        <v>358</v>
      </c>
      <c r="Z776">
        <v>1</v>
      </c>
      <c r="AA776">
        <v>408.3</v>
      </c>
      <c r="AB776">
        <v>6</v>
      </c>
      <c r="AC776">
        <v>15.1</v>
      </c>
      <c r="AD776">
        <v>0.4</v>
      </c>
      <c r="AE776">
        <v>2</v>
      </c>
      <c r="AF776">
        <v>5.5</v>
      </c>
      <c r="AG776">
        <v>189.2</v>
      </c>
      <c r="AH776">
        <v>88.02</v>
      </c>
      <c r="AI776">
        <v>53.5</v>
      </c>
    </row>
    <row r="777" spans="1:35" x14ac:dyDescent="0.25">
      <c r="A777">
        <v>776</v>
      </c>
      <c r="B777" t="s">
        <v>375</v>
      </c>
      <c r="C777" s="2">
        <v>42417</v>
      </c>
      <c r="G777">
        <f t="shared" si="12"/>
        <v>2</v>
      </c>
      <c r="H777" t="str">
        <f t="shared" si="13"/>
        <v>RAPGIL</v>
      </c>
      <c r="K777" t="s">
        <v>355</v>
      </c>
      <c r="N777" t="s">
        <v>257</v>
      </c>
      <c r="P777">
        <v>0.5</v>
      </c>
      <c r="Q777">
        <v>0</v>
      </c>
      <c r="S777">
        <v>45</v>
      </c>
      <c r="T777">
        <f t="shared" si="15"/>
        <v>0.45</v>
      </c>
      <c r="U777" t="s">
        <v>376</v>
      </c>
      <c r="V777" t="s">
        <v>48</v>
      </c>
      <c r="W777" t="s">
        <v>356</v>
      </c>
      <c r="X777" t="s">
        <v>357</v>
      </c>
      <c r="Y777" t="s">
        <v>358</v>
      </c>
      <c r="Z777">
        <v>2</v>
      </c>
      <c r="AA777">
        <v>0</v>
      </c>
      <c r="AB777">
        <v>0</v>
      </c>
      <c r="AC777">
        <v>0</v>
      </c>
      <c r="AD777">
        <v>0</v>
      </c>
      <c r="AE777">
        <v>1</v>
      </c>
      <c r="AF777">
        <v>0.5</v>
      </c>
      <c r="AG777">
        <v>101.8</v>
      </c>
      <c r="AH777">
        <v>55.94</v>
      </c>
      <c r="AI777">
        <v>45</v>
      </c>
    </row>
    <row r="778" spans="1:35" x14ac:dyDescent="0.25">
      <c r="A778">
        <v>777</v>
      </c>
      <c r="B778" t="s">
        <v>375</v>
      </c>
      <c r="C778" s="2">
        <v>42417</v>
      </c>
      <c r="G778">
        <f t="shared" si="12"/>
        <v>3</v>
      </c>
      <c r="H778" t="str">
        <f t="shared" si="13"/>
        <v>RAPGIL</v>
      </c>
      <c r="K778" t="s">
        <v>355</v>
      </c>
      <c r="N778" t="s">
        <v>257</v>
      </c>
      <c r="P778">
        <v>0.5</v>
      </c>
      <c r="Q778">
        <v>0</v>
      </c>
      <c r="S778">
        <v>44.4</v>
      </c>
      <c r="T778">
        <f t="shared" si="15"/>
        <v>0.44400000000000001</v>
      </c>
      <c r="U778" t="s">
        <v>376</v>
      </c>
      <c r="V778" t="s">
        <v>48</v>
      </c>
      <c r="W778" t="s">
        <v>356</v>
      </c>
      <c r="X778" t="s">
        <v>357</v>
      </c>
      <c r="Y778" t="s">
        <v>358</v>
      </c>
      <c r="Z778">
        <v>3</v>
      </c>
      <c r="AA778">
        <v>0</v>
      </c>
      <c r="AB778">
        <v>0</v>
      </c>
      <c r="AC778">
        <v>0</v>
      </c>
      <c r="AD778">
        <v>0</v>
      </c>
      <c r="AE778">
        <v>1</v>
      </c>
      <c r="AF778">
        <v>0.5</v>
      </c>
      <c r="AG778">
        <v>171.4</v>
      </c>
      <c r="AH778">
        <v>95.25</v>
      </c>
      <c r="AI778">
        <v>44.4</v>
      </c>
    </row>
    <row r="779" spans="1:35" x14ac:dyDescent="0.25">
      <c r="A779">
        <v>778</v>
      </c>
      <c r="B779" t="s">
        <v>375</v>
      </c>
      <c r="C779" s="2">
        <v>42417</v>
      </c>
      <c r="G779">
        <f t="shared" si="12"/>
        <v>1</v>
      </c>
      <c r="H779" t="str">
        <f t="shared" si="13"/>
        <v>SEAGLA</v>
      </c>
      <c r="K779" t="s">
        <v>359</v>
      </c>
      <c r="N779" t="s">
        <v>257</v>
      </c>
      <c r="P779">
        <v>5.5</v>
      </c>
      <c r="Q779">
        <v>480.3</v>
      </c>
      <c r="S779">
        <v>48.5</v>
      </c>
      <c r="T779">
        <f t="shared" si="15"/>
        <v>0.48499999999999999</v>
      </c>
      <c r="U779" t="s">
        <v>376</v>
      </c>
      <c r="V779" t="s">
        <v>48</v>
      </c>
      <c r="W779" t="s">
        <v>356</v>
      </c>
      <c r="X779" t="s">
        <v>357</v>
      </c>
      <c r="Y779" t="s">
        <v>360</v>
      </c>
      <c r="Z779">
        <v>1</v>
      </c>
      <c r="AA779">
        <v>480.3</v>
      </c>
      <c r="AB779">
        <v>8</v>
      </c>
      <c r="AC779">
        <v>13.2</v>
      </c>
      <c r="AD779">
        <v>0.61</v>
      </c>
      <c r="AE779">
        <v>2</v>
      </c>
      <c r="AF779">
        <v>5.5</v>
      </c>
      <c r="AG779">
        <v>262.2</v>
      </c>
      <c r="AH779">
        <v>135.02000000000001</v>
      </c>
      <c r="AI779">
        <v>48.5</v>
      </c>
    </row>
    <row r="780" spans="1:35" x14ac:dyDescent="0.25">
      <c r="A780">
        <v>779</v>
      </c>
      <c r="B780" t="s">
        <v>375</v>
      </c>
      <c r="C780" s="2">
        <v>42417</v>
      </c>
      <c r="G780">
        <f t="shared" si="12"/>
        <v>2</v>
      </c>
      <c r="H780" t="str">
        <f t="shared" si="13"/>
        <v>SEAGLA</v>
      </c>
      <c r="K780" t="s">
        <v>359</v>
      </c>
      <c r="N780" t="s">
        <v>257</v>
      </c>
      <c r="P780">
        <v>5.5</v>
      </c>
      <c r="Q780">
        <v>587</v>
      </c>
      <c r="S780">
        <v>43.1</v>
      </c>
      <c r="T780">
        <f t="shared" si="15"/>
        <v>0.43099999999999999</v>
      </c>
      <c r="U780" t="s">
        <v>376</v>
      </c>
      <c r="V780" t="s">
        <v>48</v>
      </c>
      <c r="W780" t="s">
        <v>356</v>
      </c>
      <c r="X780" t="s">
        <v>357</v>
      </c>
      <c r="Y780" t="s">
        <v>360</v>
      </c>
      <c r="Z780">
        <v>2</v>
      </c>
      <c r="AA780">
        <v>587</v>
      </c>
      <c r="AB780">
        <v>8</v>
      </c>
      <c r="AC780">
        <v>11.2</v>
      </c>
      <c r="AD780">
        <v>0.71</v>
      </c>
      <c r="AE780">
        <v>2</v>
      </c>
      <c r="AF780">
        <v>5.5</v>
      </c>
      <c r="AG780">
        <v>58</v>
      </c>
      <c r="AH780">
        <v>32.979999999999997</v>
      </c>
      <c r="AI780">
        <v>43.1</v>
      </c>
    </row>
    <row r="781" spans="1:35" x14ac:dyDescent="0.25">
      <c r="A781">
        <v>780</v>
      </c>
      <c r="B781" t="s">
        <v>375</v>
      </c>
      <c r="C781" s="2">
        <v>42417</v>
      </c>
      <c r="G781">
        <f t="shared" si="12"/>
        <v>3</v>
      </c>
      <c r="H781" t="str">
        <f t="shared" si="13"/>
        <v>SEAGLA</v>
      </c>
      <c r="K781" t="s">
        <v>359</v>
      </c>
      <c r="N781" t="s">
        <v>257</v>
      </c>
      <c r="P781">
        <v>5.5</v>
      </c>
      <c r="Q781">
        <v>597.6</v>
      </c>
      <c r="S781">
        <v>42.4</v>
      </c>
      <c r="T781">
        <f t="shared" si="15"/>
        <v>0.42399999999999999</v>
      </c>
      <c r="U781" t="s">
        <v>376</v>
      </c>
      <c r="V781" t="s">
        <v>48</v>
      </c>
      <c r="W781" t="s">
        <v>356</v>
      </c>
      <c r="X781" t="s">
        <v>357</v>
      </c>
      <c r="Y781" t="s">
        <v>360</v>
      </c>
      <c r="Z781">
        <v>3</v>
      </c>
      <c r="AA781">
        <v>597.6</v>
      </c>
      <c r="AB781">
        <v>6</v>
      </c>
      <c r="AC781">
        <v>6</v>
      </c>
      <c r="AD781">
        <v>1</v>
      </c>
      <c r="AE781">
        <v>2</v>
      </c>
      <c r="AF781">
        <v>5.5</v>
      </c>
      <c r="AG781">
        <v>99.1</v>
      </c>
      <c r="AH781">
        <v>57.04</v>
      </c>
      <c r="AI781">
        <v>42.4</v>
      </c>
    </row>
    <row r="782" spans="1:35" x14ac:dyDescent="0.25">
      <c r="A782">
        <v>781</v>
      </c>
      <c r="B782" t="s">
        <v>375</v>
      </c>
      <c r="C782" s="2">
        <v>42417</v>
      </c>
      <c r="G782">
        <f t="shared" si="12"/>
        <v>1</v>
      </c>
      <c r="H782" t="str">
        <f t="shared" si="13"/>
        <v>OLEEXA</v>
      </c>
      <c r="K782" t="s">
        <v>361</v>
      </c>
      <c r="N782" t="s">
        <v>257</v>
      </c>
      <c r="P782">
        <v>88</v>
      </c>
      <c r="Q782">
        <v>800</v>
      </c>
      <c r="S782">
        <v>42.7</v>
      </c>
      <c r="T782">
        <f t="shared" si="15"/>
        <v>0.42700000000000005</v>
      </c>
      <c r="U782" t="s">
        <v>376</v>
      </c>
      <c r="V782" t="s">
        <v>48</v>
      </c>
      <c r="W782" t="s">
        <v>356</v>
      </c>
      <c r="X782" t="s">
        <v>357</v>
      </c>
      <c r="Y782" t="s">
        <v>362</v>
      </c>
      <c r="Z782">
        <v>1</v>
      </c>
      <c r="AA782">
        <v>800</v>
      </c>
      <c r="AB782">
        <v>22</v>
      </c>
      <c r="AC782">
        <v>41.2</v>
      </c>
      <c r="AD782">
        <v>0.53</v>
      </c>
      <c r="AE782">
        <v>6</v>
      </c>
      <c r="AF782">
        <v>88</v>
      </c>
      <c r="AG782">
        <v>102.8</v>
      </c>
      <c r="AH782">
        <v>58.93</v>
      </c>
      <c r="AI782">
        <v>42.7</v>
      </c>
    </row>
    <row r="783" spans="1:35" x14ac:dyDescent="0.25">
      <c r="A783">
        <v>782</v>
      </c>
      <c r="B783" t="s">
        <v>375</v>
      </c>
      <c r="C783" s="2">
        <v>42417</v>
      </c>
      <c r="G783">
        <f t="shared" si="12"/>
        <v>2</v>
      </c>
      <c r="H783" t="str">
        <f t="shared" si="13"/>
        <v>OLEEXA</v>
      </c>
      <c r="K783" t="s">
        <v>361</v>
      </c>
      <c r="N783" t="s">
        <v>257</v>
      </c>
      <c r="P783">
        <v>88</v>
      </c>
      <c r="Q783">
        <v>800</v>
      </c>
      <c r="S783">
        <v>34.4</v>
      </c>
      <c r="T783">
        <f t="shared" si="15"/>
        <v>0.34399999999999997</v>
      </c>
      <c r="U783" t="s">
        <v>376</v>
      </c>
      <c r="V783" t="s">
        <v>48</v>
      </c>
      <c r="W783" t="s">
        <v>356</v>
      </c>
      <c r="X783" t="s">
        <v>357</v>
      </c>
      <c r="Y783" t="s">
        <v>362</v>
      </c>
      <c r="Z783">
        <v>2</v>
      </c>
      <c r="AA783">
        <v>800</v>
      </c>
      <c r="AB783">
        <v>26</v>
      </c>
      <c r="AC783">
        <v>63.6</v>
      </c>
      <c r="AD783">
        <v>0.41</v>
      </c>
      <c r="AE783">
        <v>6</v>
      </c>
      <c r="AF783">
        <v>88</v>
      </c>
      <c r="AG783">
        <v>39.4</v>
      </c>
      <c r="AH783">
        <v>25.83</v>
      </c>
      <c r="AI783">
        <v>34.4</v>
      </c>
    </row>
    <row r="784" spans="1:35" x14ac:dyDescent="0.25">
      <c r="A784">
        <v>783</v>
      </c>
      <c r="B784" t="s">
        <v>375</v>
      </c>
      <c r="C784" s="2">
        <v>42417</v>
      </c>
      <c r="G784">
        <f t="shared" si="12"/>
        <v>3</v>
      </c>
      <c r="H784" t="str">
        <f t="shared" si="13"/>
        <v>OLEEXA</v>
      </c>
      <c r="K784" t="s">
        <v>361</v>
      </c>
      <c r="N784" t="s">
        <v>257</v>
      </c>
      <c r="P784">
        <v>38</v>
      </c>
      <c r="Q784">
        <v>717.3</v>
      </c>
      <c r="S784">
        <v>39.9</v>
      </c>
      <c r="T784">
        <f t="shared" si="15"/>
        <v>0.39899999999999997</v>
      </c>
      <c r="U784" t="s">
        <v>376</v>
      </c>
      <c r="V784" t="s">
        <v>48</v>
      </c>
      <c r="W784" t="s">
        <v>356</v>
      </c>
      <c r="X784" t="s">
        <v>357</v>
      </c>
      <c r="Y784" t="s">
        <v>362</v>
      </c>
      <c r="Z784">
        <v>3</v>
      </c>
      <c r="AA784">
        <v>717.3</v>
      </c>
      <c r="AB784">
        <v>8</v>
      </c>
      <c r="AC784">
        <v>18.2</v>
      </c>
      <c r="AD784">
        <v>0.44</v>
      </c>
      <c r="AE784">
        <v>4</v>
      </c>
      <c r="AF784">
        <v>38</v>
      </c>
      <c r="AG784">
        <v>123.8</v>
      </c>
      <c r="AH784">
        <v>74.45</v>
      </c>
      <c r="AI784">
        <v>39.9</v>
      </c>
    </row>
    <row r="785" spans="1:36" x14ac:dyDescent="0.25">
      <c r="A785">
        <v>784</v>
      </c>
      <c r="B785" t="s">
        <v>375</v>
      </c>
      <c r="C785" s="2">
        <v>42417</v>
      </c>
      <c r="G785">
        <f t="shared" si="12"/>
        <v>1</v>
      </c>
      <c r="H785" t="str">
        <f t="shared" si="13"/>
        <v>MYSAET</v>
      </c>
      <c r="K785" t="s">
        <v>363</v>
      </c>
      <c r="N785" t="s">
        <v>257</v>
      </c>
      <c r="P785">
        <v>5.5</v>
      </c>
      <c r="Q785">
        <v>307</v>
      </c>
      <c r="S785">
        <v>35.6</v>
      </c>
      <c r="T785">
        <f t="shared" si="15"/>
        <v>0.35600000000000004</v>
      </c>
      <c r="U785" t="s">
        <v>376</v>
      </c>
      <c r="V785" t="s">
        <v>48</v>
      </c>
      <c r="W785" t="s">
        <v>356</v>
      </c>
      <c r="X785" t="s">
        <v>357</v>
      </c>
      <c r="Y785" t="s">
        <v>364</v>
      </c>
      <c r="Z785">
        <v>1</v>
      </c>
      <c r="AA785">
        <v>307</v>
      </c>
      <c r="AB785">
        <v>6</v>
      </c>
      <c r="AC785">
        <v>12.5</v>
      </c>
      <c r="AD785">
        <v>0.48</v>
      </c>
      <c r="AE785">
        <v>2</v>
      </c>
      <c r="AF785">
        <v>5.5</v>
      </c>
      <c r="AG785">
        <v>78.8</v>
      </c>
      <c r="AH785">
        <v>50.76</v>
      </c>
      <c r="AI785">
        <v>35.6</v>
      </c>
    </row>
    <row r="786" spans="1:36" x14ac:dyDescent="0.25">
      <c r="A786">
        <v>785</v>
      </c>
      <c r="B786" t="s">
        <v>375</v>
      </c>
      <c r="C786" s="2">
        <v>42417</v>
      </c>
      <c r="G786">
        <f t="shared" si="12"/>
        <v>2</v>
      </c>
      <c r="H786" t="str">
        <f t="shared" si="13"/>
        <v>MYSAET</v>
      </c>
      <c r="K786" t="s">
        <v>363</v>
      </c>
      <c r="N786" t="s">
        <v>257</v>
      </c>
      <c r="P786">
        <v>5.5</v>
      </c>
      <c r="Q786">
        <v>427.2</v>
      </c>
      <c r="S786">
        <v>41.5</v>
      </c>
      <c r="T786">
        <f t="shared" si="15"/>
        <v>0.41499999999999998</v>
      </c>
      <c r="U786" t="s">
        <v>376</v>
      </c>
      <c r="V786" t="s">
        <v>48</v>
      </c>
      <c r="W786" t="s">
        <v>356</v>
      </c>
      <c r="X786" t="s">
        <v>357</v>
      </c>
      <c r="Y786" t="s">
        <v>364</v>
      </c>
      <c r="Z786">
        <v>2</v>
      </c>
      <c r="AA786">
        <v>427.2</v>
      </c>
      <c r="AB786">
        <v>7</v>
      </c>
      <c r="AC786">
        <v>18.3</v>
      </c>
      <c r="AD786">
        <v>0.38</v>
      </c>
      <c r="AE786">
        <v>2</v>
      </c>
      <c r="AF786">
        <v>5.5</v>
      </c>
      <c r="AG786">
        <v>101.4</v>
      </c>
      <c r="AH786">
        <v>59.32</v>
      </c>
      <c r="AI786">
        <v>41.5</v>
      </c>
    </row>
    <row r="787" spans="1:36" x14ac:dyDescent="0.25">
      <c r="A787">
        <v>786</v>
      </c>
      <c r="B787" t="s">
        <v>375</v>
      </c>
      <c r="C787" s="2">
        <v>42417</v>
      </c>
      <c r="G787">
        <f t="shared" si="12"/>
        <v>3</v>
      </c>
      <c r="H787" t="str">
        <f t="shared" si="13"/>
        <v>MYSAET</v>
      </c>
      <c r="K787" t="s">
        <v>363</v>
      </c>
      <c r="N787" t="s">
        <v>257</v>
      </c>
      <c r="P787">
        <v>5.5</v>
      </c>
      <c r="Q787">
        <v>346.3</v>
      </c>
      <c r="S787">
        <v>38.200000000000003</v>
      </c>
      <c r="T787">
        <f t="shared" si="15"/>
        <v>0.38200000000000001</v>
      </c>
      <c r="U787" t="s">
        <v>376</v>
      </c>
      <c r="V787" t="s">
        <v>48</v>
      </c>
      <c r="W787" t="s">
        <v>356</v>
      </c>
      <c r="X787" t="s">
        <v>357</v>
      </c>
      <c r="Y787" t="s">
        <v>364</v>
      </c>
      <c r="Z787">
        <v>3</v>
      </c>
      <c r="AA787">
        <v>346.3</v>
      </c>
      <c r="AB787">
        <v>6</v>
      </c>
      <c r="AC787">
        <v>15.3</v>
      </c>
      <c r="AD787">
        <v>0.39</v>
      </c>
      <c r="AE787">
        <v>2</v>
      </c>
      <c r="AF787">
        <v>5.5</v>
      </c>
      <c r="AG787">
        <v>115</v>
      </c>
      <c r="AH787">
        <v>71.06</v>
      </c>
      <c r="AI787">
        <v>38.200000000000003</v>
      </c>
    </row>
    <row r="788" spans="1:36" x14ac:dyDescent="0.25">
      <c r="A788">
        <v>787</v>
      </c>
      <c r="B788" t="s">
        <v>375</v>
      </c>
      <c r="C788" s="2">
        <v>42417</v>
      </c>
      <c r="G788">
        <f t="shared" si="12"/>
        <v>1</v>
      </c>
      <c r="H788" t="str">
        <f t="shared" si="13"/>
        <v>ZANCAP</v>
      </c>
      <c r="K788" t="s">
        <v>365</v>
      </c>
      <c r="N788" t="s">
        <v>257</v>
      </c>
      <c r="P788">
        <v>18</v>
      </c>
      <c r="Q788">
        <v>390.6</v>
      </c>
      <c r="S788">
        <v>33.700000000000003</v>
      </c>
      <c r="T788">
        <f t="shared" si="15"/>
        <v>0.33700000000000002</v>
      </c>
      <c r="U788" t="s">
        <v>376</v>
      </c>
      <c r="V788" t="s">
        <v>48</v>
      </c>
      <c r="W788" t="s">
        <v>356</v>
      </c>
      <c r="X788" t="s">
        <v>366</v>
      </c>
      <c r="Y788" t="s">
        <v>367</v>
      </c>
      <c r="Z788">
        <v>1</v>
      </c>
      <c r="AA788">
        <v>390.6</v>
      </c>
      <c r="AB788">
        <v>12</v>
      </c>
      <c r="AC788">
        <v>6.8</v>
      </c>
      <c r="AD788">
        <v>1.76</v>
      </c>
      <c r="AE788">
        <v>3</v>
      </c>
      <c r="AF788">
        <v>18</v>
      </c>
      <c r="AG788">
        <v>90.4</v>
      </c>
      <c r="AH788">
        <v>59.93</v>
      </c>
      <c r="AI788">
        <v>33.700000000000003</v>
      </c>
    </row>
    <row r="789" spans="1:36" x14ac:dyDescent="0.25">
      <c r="A789">
        <v>788</v>
      </c>
      <c r="B789" t="s">
        <v>375</v>
      </c>
      <c r="C789" s="2">
        <v>42417</v>
      </c>
      <c r="G789">
        <f t="shared" si="12"/>
        <v>2</v>
      </c>
      <c r="H789" t="str">
        <f t="shared" si="13"/>
        <v>ZANCAP</v>
      </c>
      <c r="K789" t="s">
        <v>365</v>
      </c>
      <c r="N789" t="s">
        <v>257</v>
      </c>
      <c r="P789">
        <v>18</v>
      </c>
      <c r="Q789">
        <v>494.1</v>
      </c>
      <c r="S789">
        <v>29.2</v>
      </c>
      <c r="T789">
        <f t="shared" si="15"/>
        <v>0.29199999999999998</v>
      </c>
      <c r="U789" t="s">
        <v>376</v>
      </c>
      <c r="V789" t="s">
        <v>48</v>
      </c>
      <c r="W789" t="s">
        <v>356</v>
      </c>
      <c r="X789" t="s">
        <v>366</v>
      </c>
      <c r="Y789" t="s">
        <v>367</v>
      </c>
      <c r="Z789">
        <v>2</v>
      </c>
      <c r="AA789">
        <v>494.1</v>
      </c>
      <c r="AB789">
        <v>8</v>
      </c>
      <c r="AC789">
        <v>6.9</v>
      </c>
      <c r="AD789">
        <v>1.1599999999999999</v>
      </c>
      <c r="AE789">
        <v>3</v>
      </c>
      <c r="AF789">
        <v>18</v>
      </c>
      <c r="AG789">
        <v>103.6</v>
      </c>
      <c r="AH789">
        <v>73.31</v>
      </c>
      <c r="AI789">
        <v>29.2</v>
      </c>
    </row>
    <row r="790" spans="1:36" x14ac:dyDescent="0.25">
      <c r="A790">
        <v>789</v>
      </c>
      <c r="B790" t="s">
        <v>375</v>
      </c>
      <c r="C790" s="2">
        <v>42417</v>
      </c>
      <c r="G790">
        <f t="shared" si="12"/>
        <v>3</v>
      </c>
      <c r="H790" t="str">
        <f t="shared" si="13"/>
        <v>ZANCAP</v>
      </c>
      <c r="K790" t="s">
        <v>365</v>
      </c>
      <c r="N790" t="s">
        <v>257</v>
      </c>
      <c r="P790">
        <v>18</v>
      </c>
      <c r="Q790">
        <v>496.7</v>
      </c>
      <c r="S790">
        <v>44</v>
      </c>
      <c r="T790">
        <f t="shared" si="15"/>
        <v>0.44</v>
      </c>
      <c r="U790" t="s">
        <v>376</v>
      </c>
      <c r="V790" t="s">
        <v>48</v>
      </c>
      <c r="W790" t="s">
        <v>356</v>
      </c>
      <c r="X790" t="s">
        <v>366</v>
      </c>
      <c r="Y790" t="s">
        <v>367</v>
      </c>
      <c r="Z790">
        <v>3</v>
      </c>
      <c r="AA790">
        <v>496.7</v>
      </c>
      <c r="AB790">
        <v>15</v>
      </c>
      <c r="AC790">
        <v>7.1</v>
      </c>
      <c r="AD790">
        <v>2.11</v>
      </c>
      <c r="AE790">
        <v>3</v>
      </c>
      <c r="AF790">
        <v>18</v>
      </c>
      <c r="AG790">
        <v>67.599999999999994</v>
      </c>
      <c r="AH790">
        <v>37.869999999999997</v>
      </c>
      <c r="AI790">
        <v>44</v>
      </c>
    </row>
    <row r="791" spans="1:36" x14ac:dyDescent="0.25">
      <c r="A791">
        <v>790</v>
      </c>
      <c r="B791" t="s">
        <v>375</v>
      </c>
      <c r="C791" s="2">
        <v>42417</v>
      </c>
      <c r="G791">
        <f t="shared" si="12"/>
        <v>1</v>
      </c>
      <c r="H791" t="str">
        <f t="shared" si="13"/>
        <v>CANMUN</v>
      </c>
      <c r="K791" t="s">
        <v>368</v>
      </c>
      <c r="N791" t="s">
        <v>257</v>
      </c>
      <c r="P791">
        <v>18</v>
      </c>
      <c r="Q791">
        <v>674.9</v>
      </c>
      <c r="S791">
        <v>48.9</v>
      </c>
      <c r="T791">
        <f t="shared" si="15"/>
        <v>0.48899999999999999</v>
      </c>
      <c r="U791" t="s">
        <v>376</v>
      </c>
      <c r="V791" t="s">
        <v>48</v>
      </c>
      <c r="W791" t="s">
        <v>356</v>
      </c>
      <c r="X791" t="s">
        <v>366</v>
      </c>
      <c r="Y791" t="s">
        <v>369</v>
      </c>
      <c r="Z791">
        <v>1</v>
      </c>
      <c r="AA791">
        <v>674.9</v>
      </c>
      <c r="AB791">
        <v>13</v>
      </c>
      <c r="AC791">
        <v>11.9</v>
      </c>
      <c r="AD791">
        <v>1.0900000000000001</v>
      </c>
      <c r="AE791">
        <v>3</v>
      </c>
      <c r="AF791">
        <v>18</v>
      </c>
      <c r="AG791">
        <v>149.6</v>
      </c>
      <c r="AH791">
        <v>76.44</v>
      </c>
      <c r="AI791">
        <v>48.9</v>
      </c>
    </row>
    <row r="792" spans="1:36" x14ac:dyDescent="0.25">
      <c r="A792">
        <v>791</v>
      </c>
      <c r="B792" t="s">
        <v>375</v>
      </c>
      <c r="C792" s="2">
        <v>42417</v>
      </c>
      <c r="G792">
        <f t="shared" si="12"/>
        <v>2</v>
      </c>
      <c r="H792" t="str">
        <f t="shared" si="13"/>
        <v>CANMUN</v>
      </c>
      <c r="K792" t="s">
        <v>368</v>
      </c>
      <c r="N792" t="s">
        <v>257</v>
      </c>
      <c r="P792">
        <v>63</v>
      </c>
      <c r="Q792">
        <v>636.9</v>
      </c>
      <c r="S792">
        <v>42.7</v>
      </c>
      <c r="T792">
        <f t="shared" si="15"/>
        <v>0.42700000000000005</v>
      </c>
      <c r="U792" t="s">
        <v>376</v>
      </c>
      <c r="V792" t="s">
        <v>48</v>
      </c>
      <c r="W792" t="s">
        <v>356</v>
      </c>
      <c r="X792" t="s">
        <v>366</v>
      </c>
      <c r="Y792" t="s">
        <v>369</v>
      </c>
      <c r="Z792">
        <v>2</v>
      </c>
      <c r="AA792">
        <v>636.9</v>
      </c>
      <c r="AB792">
        <v>24</v>
      </c>
      <c r="AC792">
        <v>11.8</v>
      </c>
      <c r="AD792">
        <v>2.0299999999999998</v>
      </c>
      <c r="AE792">
        <v>5</v>
      </c>
      <c r="AF792">
        <v>63</v>
      </c>
      <c r="AG792">
        <v>94</v>
      </c>
      <c r="AH792">
        <v>53.88</v>
      </c>
      <c r="AI792">
        <v>42.7</v>
      </c>
    </row>
    <row r="793" spans="1:36" x14ac:dyDescent="0.25">
      <c r="A793">
        <v>792</v>
      </c>
      <c r="B793" t="s">
        <v>375</v>
      </c>
      <c r="C793" s="2">
        <v>42417</v>
      </c>
      <c r="G793">
        <f t="shared" si="12"/>
        <v>3</v>
      </c>
      <c r="H793" t="str">
        <f t="shared" si="13"/>
        <v>CANMUN</v>
      </c>
      <c r="K793" t="s">
        <v>368</v>
      </c>
      <c r="N793" t="s">
        <v>257</v>
      </c>
      <c r="P793">
        <v>38</v>
      </c>
      <c r="Q793">
        <v>473.8</v>
      </c>
      <c r="S793">
        <v>49.8</v>
      </c>
      <c r="T793">
        <f t="shared" si="15"/>
        <v>0.498</v>
      </c>
      <c r="U793" t="s">
        <v>376</v>
      </c>
      <c r="V793" t="s">
        <v>48</v>
      </c>
      <c r="W793" t="s">
        <v>356</v>
      </c>
      <c r="X793" t="s">
        <v>366</v>
      </c>
      <c r="Y793" t="s">
        <v>369</v>
      </c>
      <c r="Z793">
        <v>3</v>
      </c>
      <c r="AA793">
        <v>473.8</v>
      </c>
      <c r="AB793">
        <v>14</v>
      </c>
      <c r="AC793">
        <v>11.7</v>
      </c>
      <c r="AD793">
        <v>1.2</v>
      </c>
      <c r="AE793">
        <v>4</v>
      </c>
      <c r="AF793">
        <v>38</v>
      </c>
      <c r="AG793">
        <v>146.6</v>
      </c>
      <c r="AH793">
        <v>73.58</v>
      </c>
      <c r="AI793">
        <v>49.8</v>
      </c>
    </row>
    <row r="794" spans="1:36" x14ac:dyDescent="0.25">
      <c r="A794">
        <v>793</v>
      </c>
      <c r="B794" t="s">
        <v>375</v>
      </c>
      <c r="C794" s="2">
        <v>42417</v>
      </c>
      <c r="G794">
        <f t="shared" si="12"/>
        <v>1</v>
      </c>
      <c r="H794" t="str">
        <f t="shared" si="13"/>
        <v>CHIFOV</v>
      </c>
      <c r="K794" t="s">
        <v>370</v>
      </c>
      <c r="N794" t="s">
        <v>257</v>
      </c>
      <c r="P794">
        <v>63</v>
      </c>
      <c r="Q794">
        <v>763</v>
      </c>
      <c r="S794">
        <v>32.9</v>
      </c>
      <c r="T794">
        <f t="shared" si="15"/>
        <v>0.32899999999999996</v>
      </c>
      <c r="U794" t="s">
        <v>376</v>
      </c>
      <c r="V794" t="s">
        <v>48</v>
      </c>
      <c r="W794" t="s">
        <v>356</v>
      </c>
      <c r="X794" t="s">
        <v>366</v>
      </c>
      <c r="Y794" t="s">
        <v>371</v>
      </c>
      <c r="Z794">
        <v>1</v>
      </c>
      <c r="AA794">
        <v>763</v>
      </c>
      <c r="AB794">
        <v>21</v>
      </c>
      <c r="AC794">
        <v>15</v>
      </c>
      <c r="AD794">
        <v>1.4</v>
      </c>
      <c r="AE794">
        <v>5</v>
      </c>
      <c r="AF794">
        <v>63</v>
      </c>
      <c r="AG794">
        <v>143.80000000000001</v>
      </c>
      <c r="AH794">
        <v>96.42</v>
      </c>
      <c r="AI794">
        <v>32.9</v>
      </c>
    </row>
    <row r="795" spans="1:36" x14ac:dyDescent="0.25">
      <c r="A795">
        <v>794</v>
      </c>
      <c r="B795" t="s">
        <v>375</v>
      </c>
      <c r="C795" s="2">
        <v>42417</v>
      </c>
      <c r="G795">
        <f t="shared" si="12"/>
        <v>2</v>
      </c>
      <c r="H795" t="str">
        <f t="shared" si="13"/>
        <v>CHIFOV</v>
      </c>
      <c r="K795" t="s">
        <v>370</v>
      </c>
      <c r="N795" t="s">
        <v>257</v>
      </c>
      <c r="P795">
        <v>88</v>
      </c>
      <c r="Q795">
        <v>800</v>
      </c>
      <c r="S795">
        <v>36.799999999999997</v>
      </c>
      <c r="T795">
        <f t="shared" si="15"/>
        <v>0.36799999999999999</v>
      </c>
      <c r="U795" t="s">
        <v>376</v>
      </c>
      <c r="V795" t="s">
        <v>48</v>
      </c>
      <c r="W795" t="s">
        <v>356</v>
      </c>
      <c r="X795" t="s">
        <v>366</v>
      </c>
      <c r="Y795" t="s">
        <v>371</v>
      </c>
      <c r="Z795">
        <v>2</v>
      </c>
      <c r="AA795">
        <v>800</v>
      </c>
      <c r="AB795">
        <v>36</v>
      </c>
      <c r="AC795">
        <v>29.5</v>
      </c>
      <c r="AD795">
        <v>1.22</v>
      </c>
      <c r="AE795">
        <v>6</v>
      </c>
      <c r="AF795">
        <v>88</v>
      </c>
      <c r="AG795">
        <v>99.4</v>
      </c>
      <c r="AH795">
        <v>62.87</v>
      </c>
      <c r="AI795">
        <v>36.799999999999997</v>
      </c>
    </row>
    <row r="796" spans="1:36" x14ac:dyDescent="0.25">
      <c r="A796">
        <v>795</v>
      </c>
      <c r="B796" t="s">
        <v>375</v>
      </c>
      <c r="C796" s="2">
        <v>42417</v>
      </c>
      <c r="G796">
        <f t="shared" si="12"/>
        <v>3</v>
      </c>
      <c r="H796" t="str">
        <f t="shared" si="13"/>
        <v>CHIFOV</v>
      </c>
      <c r="K796" t="s">
        <v>370</v>
      </c>
      <c r="N796" t="s">
        <v>257</v>
      </c>
      <c r="P796">
        <v>38</v>
      </c>
      <c r="Q796">
        <v>776.1</v>
      </c>
      <c r="S796">
        <v>35.4</v>
      </c>
      <c r="T796">
        <f t="shared" si="15"/>
        <v>0.35399999999999998</v>
      </c>
      <c r="U796" t="s">
        <v>376</v>
      </c>
      <c r="V796" t="s">
        <v>48</v>
      </c>
      <c r="W796" t="s">
        <v>356</v>
      </c>
      <c r="X796" t="s">
        <v>366</v>
      </c>
      <c r="Y796" t="s">
        <v>371</v>
      </c>
      <c r="Z796">
        <v>3</v>
      </c>
      <c r="AA796">
        <v>776.1</v>
      </c>
      <c r="AB796">
        <v>16</v>
      </c>
      <c r="AC796">
        <v>18</v>
      </c>
      <c r="AD796">
        <v>0.89</v>
      </c>
      <c r="AE796">
        <v>4</v>
      </c>
      <c r="AF796">
        <v>38</v>
      </c>
      <c r="AG796">
        <v>89.2</v>
      </c>
      <c r="AH796">
        <v>57.62</v>
      </c>
      <c r="AI796">
        <v>35.4</v>
      </c>
      <c r="AJ796" t="s">
        <v>372</v>
      </c>
    </row>
    <row r="797" spans="1:36" x14ac:dyDescent="0.25">
      <c r="A797">
        <v>796</v>
      </c>
      <c r="B797" t="s">
        <v>375</v>
      </c>
      <c r="C797" s="2">
        <v>42417</v>
      </c>
      <c r="G797">
        <f t="shared" si="12"/>
        <v>1</v>
      </c>
      <c r="H797" t="str">
        <f t="shared" si="13"/>
        <v>TARCAM</v>
      </c>
      <c r="K797" t="s">
        <v>373</v>
      </c>
      <c r="N797" t="s">
        <v>257</v>
      </c>
      <c r="P797">
        <v>5.5</v>
      </c>
      <c r="Q797">
        <v>639.5</v>
      </c>
      <c r="S797">
        <v>52.7</v>
      </c>
      <c r="T797">
        <f t="shared" si="15"/>
        <v>0.52700000000000002</v>
      </c>
      <c r="U797" t="s">
        <v>376</v>
      </c>
      <c r="V797" t="s">
        <v>48</v>
      </c>
      <c r="W797" t="s">
        <v>356</v>
      </c>
      <c r="X797" t="s">
        <v>366</v>
      </c>
      <c r="Y797" t="s">
        <v>374</v>
      </c>
      <c r="Z797">
        <v>1</v>
      </c>
      <c r="AA797">
        <v>639.5</v>
      </c>
      <c r="AB797">
        <v>6</v>
      </c>
      <c r="AC797">
        <v>15.4</v>
      </c>
      <c r="AD797">
        <v>0.39</v>
      </c>
      <c r="AE797">
        <v>2</v>
      </c>
      <c r="AF797">
        <v>5.5</v>
      </c>
      <c r="AG797">
        <v>113.6</v>
      </c>
      <c r="AH797">
        <v>53.74</v>
      </c>
      <c r="AI797">
        <v>52.7</v>
      </c>
    </row>
    <row r="798" spans="1:36" x14ac:dyDescent="0.25">
      <c r="A798">
        <v>797</v>
      </c>
      <c r="B798" t="s">
        <v>375</v>
      </c>
      <c r="C798" s="2">
        <v>42417</v>
      </c>
      <c r="G798">
        <f t="shared" si="12"/>
        <v>2</v>
      </c>
      <c r="H798" t="str">
        <f t="shared" si="13"/>
        <v>TARCAM</v>
      </c>
      <c r="K798" t="s">
        <v>373</v>
      </c>
      <c r="N798" t="s">
        <v>257</v>
      </c>
      <c r="P798">
        <v>5.5</v>
      </c>
      <c r="Q798">
        <v>642.5</v>
      </c>
      <c r="S798">
        <v>45.4</v>
      </c>
      <c r="T798">
        <f t="shared" si="15"/>
        <v>0.45399999999999996</v>
      </c>
      <c r="U798" t="s">
        <v>376</v>
      </c>
      <c r="V798" t="s">
        <v>48</v>
      </c>
      <c r="W798" t="s">
        <v>356</v>
      </c>
      <c r="X798" t="s">
        <v>366</v>
      </c>
      <c r="Y798" t="s">
        <v>374</v>
      </c>
      <c r="Z798">
        <v>2</v>
      </c>
      <c r="AA798">
        <v>642.5</v>
      </c>
      <c r="AB798">
        <v>13</v>
      </c>
      <c r="AC798">
        <v>32.200000000000003</v>
      </c>
      <c r="AD798">
        <v>0.4</v>
      </c>
      <c r="AE798">
        <v>2</v>
      </c>
      <c r="AF798">
        <v>5.5</v>
      </c>
      <c r="AG798">
        <v>37.4</v>
      </c>
      <c r="AH798">
        <v>20.41</v>
      </c>
      <c r="AI798">
        <v>45.4</v>
      </c>
    </row>
    <row r="799" spans="1:36" x14ac:dyDescent="0.25">
      <c r="A799">
        <v>798</v>
      </c>
      <c r="B799" t="s">
        <v>375</v>
      </c>
      <c r="C799" s="2">
        <v>42417</v>
      </c>
      <c r="G799">
        <f t="shared" ref="G799" si="16">Z799</f>
        <v>3</v>
      </c>
      <c r="H799" t="str">
        <f t="shared" ref="H799" si="17">Y799</f>
        <v>TARCAM</v>
      </c>
      <c r="K799" t="s">
        <v>373</v>
      </c>
      <c r="N799" t="s">
        <v>257</v>
      </c>
      <c r="P799">
        <v>0.5</v>
      </c>
      <c r="Q799">
        <v>603.79999999999995</v>
      </c>
      <c r="S799">
        <v>56</v>
      </c>
      <c r="T799">
        <f t="shared" si="15"/>
        <v>0.56000000000000005</v>
      </c>
      <c r="U799" t="s">
        <v>376</v>
      </c>
      <c r="V799" t="s">
        <v>48</v>
      </c>
      <c r="W799" t="s">
        <v>356</v>
      </c>
      <c r="X799" t="s">
        <v>366</v>
      </c>
      <c r="Y799" t="s">
        <v>374</v>
      </c>
      <c r="Z799">
        <v>3</v>
      </c>
      <c r="AA799">
        <v>603.79999999999995</v>
      </c>
      <c r="AB799">
        <v>8</v>
      </c>
      <c r="AC799">
        <v>16.2</v>
      </c>
      <c r="AD799">
        <v>0.49</v>
      </c>
      <c r="AE799">
        <v>1</v>
      </c>
      <c r="AF799">
        <v>0.5</v>
      </c>
      <c r="AG799">
        <v>97.8</v>
      </c>
      <c r="AH799">
        <v>43</v>
      </c>
      <c r="AI799">
        <v>56</v>
      </c>
      <c r="AJ799" t="s">
        <v>372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Msweli, Samukelisiwe (Ms) (George Campus)</cp:lastModifiedBy>
  <dcterms:created xsi:type="dcterms:W3CDTF">2025-11-11T10:09:40Z</dcterms:created>
  <dcterms:modified xsi:type="dcterms:W3CDTF">2025-11-11T10:30:58Z</dcterms:modified>
</cp:coreProperties>
</file>